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atashachan/Documents/0 IEEE Paper/26002803_Corpus/sampling/"/>
    </mc:Choice>
  </mc:AlternateContent>
  <xr:revisionPtr revIDLastSave="0" documentId="13_ncr:1_{DC1471EF-7930-4741-A03C-96AB366435FF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election Matrix" sheetId="3" r:id="rId1"/>
    <sheet name="Selection Process" sheetId="4" r:id="rId2"/>
    <sheet name="Data Validat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9" i="3" l="1"/>
  <c r="P39" i="3"/>
  <c r="K39" i="3"/>
  <c r="E39" i="3"/>
  <c r="D39" i="3"/>
  <c r="O39" i="3"/>
  <c r="N39" i="3"/>
  <c r="M39" i="3"/>
  <c r="L39" i="3"/>
  <c r="J39" i="3"/>
  <c r="I39" i="3"/>
  <c r="H39" i="3"/>
  <c r="G39" i="3"/>
  <c r="F39" i="3"/>
  <c r="C39" i="3"/>
</calcChain>
</file>

<file path=xl/sharedStrings.xml><?xml version="1.0" encoding="utf-8"?>
<sst xmlns="http://schemas.openxmlformats.org/spreadsheetml/2006/main" count="806" uniqueCount="178">
  <si>
    <t>Tool name</t>
  </si>
  <si>
    <t>Primary URL</t>
  </si>
  <si>
    <t>ABCmouse</t>
  </si>
  <si>
    <t>https://www.abcmouse.com</t>
  </si>
  <si>
    <t>Yes</t>
  </si>
  <si>
    <t>No</t>
  </si>
  <si>
    <t>Not Stated</t>
  </si>
  <si>
    <t>KinderGPT</t>
  </si>
  <si>
    <t>https://www.kindergpt.com</t>
  </si>
  <si>
    <t>Partial</t>
  </si>
  <si>
    <t>MagicSchool AI</t>
  </si>
  <si>
    <t>https://www.magicschool.ai</t>
  </si>
  <si>
    <t>Ello</t>
  </si>
  <si>
    <t>https://www.ello.com</t>
  </si>
  <si>
    <t>Askie</t>
  </si>
  <si>
    <t>https://kidsai.app</t>
  </si>
  <si>
    <t>ALEKS</t>
  </si>
  <si>
    <t>https://www.aleks.com</t>
  </si>
  <si>
    <t>Amira Learning</t>
  </si>
  <si>
    <t>https://amiralearning.com</t>
  </si>
  <si>
    <t>CENTURY</t>
  </si>
  <si>
    <t>https://www.century.tech</t>
  </si>
  <si>
    <t>HeyOtto!</t>
  </si>
  <si>
    <t>https://www.heyotto.app</t>
  </si>
  <si>
    <t>SchoolAI</t>
  </si>
  <si>
    <t>https://schoolai.com</t>
  </si>
  <si>
    <t>Cogito Coach</t>
  </si>
  <si>
    <t>https://cogitocoach.com</t>
  </si>
  <si>
    <t>Cognii</t>
  </si>
  <si>
    <t>https://www.cognii.com</t>
  </si>
  <si>
    <t>Curipod</t>
  </si>
  <si>
    <t>https://curipod.com</t>
  </si>
  <si>
    <t>Diffit</t>
  </si>
  <si>
    <t>https://web.diffit.me</t>
  </si>
  <si>
    <t>Kodable</t>
  </si>
  <si>
    <t>https://www.kodable.com</t>
  </si>
  <si>
    <t>Squirrel AI</t>
  </si>
  <si>
    <t>https://squirrelai.com</t>
  </si>
  <si>
    <t>Brisk Teaching</t>
  </si>
  <si>
    <t>https://www.briskteaching.com</t>
  </si>
  <si>
    <t>Flint</t>
  </si>
  <si>
    <t>https://flintk12.com</t>
  </si>
  <si>
    <t>Hi Eureka!</t>
  </si>
  <si>
    <t>https://hi-eureka.com</t>
  </si>
  <si>
    <t>IXL Learning</t>
  </si>
  <si>
    <t>https://www.ixl.com</t>
  </si>
  <si>
    <t>Khanmigo</t>
  </si>
  <si>
    <t>https://www.khanmigo.ai</t>
  </si>
  <si>
    <t>Lalilo</t>
  </si>
  <si>
    <t>https://www.lalilo.com</t>
  </si>
  <si>
    <t>LittleLit AI</t>
  </si>
  <si>
    <t>https://www.littlelit.ai</t>
  </si>
  <si>
    <t>MATHia</t>
  </si>
  <si>
    <t>https://www.carnegielearning.com/mathia</t>
  </si>
  <si>
    <t>DreamBox</t>
  </si>
  <si>
    <t>https://www.dreambox.com</t>
  </si>
  <si>
    <t>Photomath</t>
  </si>
  <si>
    <t>https://photomath.com</t>
  </si>
  <si>
    <t>PinwheelGPT</t>
  </si>
  <si>
    <t>https://www.pinwheel.com/gpt</t>
  </si>
  <si>
    <t>Storytailor</t>
  </si>
  <si>
    <t>https://www.storytailor.com</t>
  </si>
  <si>
    <t>TalkiePal</t>
  </si>
  <si>
    <t>https://www.talkiepal.com</t>
  </si>
  <si>
    <t>Spark</t>
  </si>
  <si>
    <t>https://curiositylabs.ai</t>
  </si>
  <si>
    <t>octa AI</t>
  </si>
  <si>
    <t>https://octa-ai.app</t>
  </si>
  <si>
    <t>SUMMARY STATS</t>
  </si>
  <si>
    <t>Teacher-facing</t>
  </si>
  <si>
    <t>Feature Presence</t>
  </si>
  <si>
    <t>KidsChatGPT</t>
  </si>
  <si>
    <t>Heeyo (Heeyo.ai)</t>
  </si>
  <si>
    <t>https://kidschatgpt.com</t>
  </si>
  <si>
    <t>official website inaccessible (	
http://heeyo.ai / https://www.heeyo.ai)</t>
  </si>
  <si>
    <t>Selection Process</t>
  </si>
  <si>
    <t>Originality</t>
  </si>
  <si>
    <t>GenAI component</t>
  </si>
  <si>
    <t>Educational impact</t>
  </si>
  <si>
    <t>Documentation</t>
  </si>
  <si>
    <t>Teacher-mediated</t>
  </si>
  <si>
    <t>UK Accessibility</t>
  </si>
  <si>
    <t>Final decision</t>
  </si>
  <si>
    <t>Decision rationale</t>
  </si>
  <si>
    <t>Stage 1 decision</t>
  </si>
  <si>
    <t>Final Decision</t>
  </si>
  <si>
    <t>Manual Verification</t>
  </si>
  <si>
    <t>Stage 1 Result</t>
  </si>
  <si>
    <t>Eligible</t>
  </si>
  <si>
    <t>Selected</t>
  </si>
  <si>
    <t>Eligible with limitations</t>
  </si>
  <si>
    <t>Reserve</t>
  </si>
  <si>
    <t>Excluded</t>
  </si>
  <si>
    <t>Not Verified</t>
  </si>
  <si>
    <t>Manual verification required</t>
  </si>
  <si>
    <t>Self-service practical access</t>
  </si>
  <si>
    <t>No real school/student data required</t>
  </si>
  <si>
    <t>Observable relevant functionality</t>
  </si>
  <si>
    <t>Evidence capture</t>
  </si>
  <si>
    <t>Stage 2 decision</t>
  </si>
  <si>
    <t>Stage 3 decision</t>
  </si>
  <si>
    <t>Variation contribution</t>
  </si>
  <si>
    <t>Excluded at previous stage</t>
  </si>
  <si>
    <t>Not Assessed</t>
  </si>
  <si>
    <t>N/A</t>
  </si>
  <si>
    <t>No substantive GenAI component</t>
  </si>
  <si>
    <t>One of Atabey et al. (2025)'s audited tools</t>
  </si>
  <si>
    <t>Not explicitly teacher-facing / teacher-mediated</t>
  </si>
  <si>
    <t>Not eligible</t>
  </si>
  <si>
    <t>Child-first multimodal classroom AI with direct student interaction and teacher oversight</t>
  </si>
  <si>
    <t>Early-years story/resource generation with no open student chatbot</t>
  </si>
  <si>
    <t>Teacher-configured browser extension/workflow assistant; contrasts with standalone student AI systems</t>
  </si>
  <si>
    <t>Critical-thinking/Socratic coaching rather than content-generation workflow</t>
  </si>
  <si>
    <t>Teacher-led whole-class AI interactions rather than an open student chatbot</t>
  </si>
  <si>
    <t>Teacher-only content generation with zero student data; useful contrast to child-interactive tools</t>
  </si>
  <si>
    <t>Broad school AI workspace with both teacher-generation and student-facing AI interactions</t>
  </si>
  <si>
    <t>Child-safe, self-hosted generative AI with family controls; weak explicit classroom workflow</t>
  </si>
  <si>
    <t>Teacher-only GenAI assistant; provides a low-direct-child-exposure contrast</t>
  </si>
  <si>
    <t>Specialist coding tutor; adds subject/domain diversity</t>
  </si>
  <si>
    <t>Teacher-configured, directly student-interactive AI with extensive observability/safety controls</t>
  </si>
  <si>
    <t>Explicitly offers a school product for ages 4–12 with teacher dashboards, student access codes, text/voice/image generation, conversation history and a forever-free classroom tier (1 class/20 students); registered in England and Wales</t>
  </si>
  <si>
    <t>Explicitly describes generative-AI features producing lesson plans, quizzes, exemplars and essay feedback; offers Free Forever for Teachers; publishes a European and UK privacy notice covering use from the UK</t>
  </si>
  <si>
    <t>GDPR rights are stated, but UK availability is not specifically confirmed</t>
  </si>
  <si>
    <t>Publishes its foundation-model families, states that students never sit alone with AI, and describes teacher-initiated, visible and editable AI interactions; free plan available; publishes GDPR-focused privacy/safety documentation</t>
  </si>
  <si>
    <r>
      <t xml:space="preserve">Explicitly for teachers only, generates instructional materials from prompts/source content, has an always-free teacher version, collects zero student data, supports PDF/Microsoft/Google exports; </t>
    </r>
    <r>
      <rPr>
        <sz val="11"/>
        <color rgb="FFFF0000"/>
        <rFont val="Calibri (Body)"/>
      </rPr>
      <t>UK availability needs manual confirmation</t>
    </r>
  </si>
  <si>
    <t>Khanmigo for Teachers is free and available in 180+ countries/territories; teacher tools generate plans, rubrics, exit tickets and other resources; chat history/documents are retained for the teacher</t>
  </si>
  <si>
    <t>References a partner offer for schools, but is primarily family-focused</t>
  </si>
  <si>
    <t>Dedicated UK schools/trusts page, teacher-created student Spaces, real-time conversation visibility, safety alerts and a no-expiry free trial with 5 Space launches per year</t>
  </si>
  <si>
    <t>Explicitly uses AI/language models to generate personalised stories, supports teachers/schools, offers a free preview and allows stories to be saved/downloaded; eligible but not selected after maximum-variation sampling</t>
  </si>
  <si>
    <t>Offers free use for up to 80 teachers/students, 80+ teacher/student AI tools, and explicitly supports students under 13; privacy policy appoints a UK data-protection representative; overlaps substantially with SchoolAI</t>
  </si>
  <si>
    <r>
      <t xml:space="preserve">Free for teachers and uses CatBot as a personalised AI tutor that helps students create and troubleshoot code; product is clearly classroom/K–12 oriented; </t>
    </r>
    <r>
      <rPr>
        <sz val="11"/>
        <color rgb="FFFF0000"/>
        <rFont val="Calibri (Body)"/>
      </rPr>
      <t>UK availability needs manual confirmation</t>
    </r>
  </si>
  <si>
    <t>No substantive GenAI component; access through physical centres</t>
  </si>
  <si>
    <t>GenAI component could not be substantiated</t>
  </si>
  <si>
    <t>Note: Counts represent total 'Yes / 'Eligible'' values for each corresponding feature column</t>
  </si>
  <si>
    <t>Stage</t>
  </si>
  <si>
    <t>Criterion / action</t>
  </si>
  <si>
    <t>Operational definition</t>
  </si>
  <si>
    <t>Evidence / decision rule</t>
  </si>
  <si>
    <t>Output</t>
  </si>
  <si>
    <t>Eligibility</t>
  </si>
  <si>
    <t>Substantive GenAI</t>
  </si>
  <si>
    <t>UK accessibility</t>
  </si>
  <si>
    <t>Practical auditability</t>
  </si>
  <si>
    <t>No real school/pupil data required</t>
  </si>
  <si>
    <t>Maximum-variation descriptors</t>
  </si>
  <si>
    <t>Sampling profile</t>
  </si>
  <si>
    <t>Maximum-variation purposive sample</t>
  </si>
  <si>
    <t>Live access check</t>
  </si>
  <si>
    <t>Audit-ready sample</t>
  </si>
  <si>
    <t>Stage 1</t>
  </si>
  <si>
    <t>Stage 2</t>
  </si>
  <si>
    <t>Stage 3</t>
  </si>
  <si>
    <t>Stage 4</t>
  </si>
  <si>
    <t>Stage 5</t>
  </si>
  <si>
    <t>Stage 6</t>
  </si>
  <si>
    <t>Teacher directly operates the tool for teaching, planning, assessment, feedback, differentiation, resource creation, monitoring or similar classroom work</t>
  </si>
  <si>
    <t>A teacher configures, assigns, controls, monitors or materially mediates children's exposure to the AI/tool or its outputs</t>
  </si>
  <si>
    <t>Tool is not one of Atabey et al. (2025)'s five cases: Character.AI, Grammarly, MagicSchool AI, Microsoft Copilot, Mind's Eye</t>
  </si>
  <si>
    <t>Current first-party sources establish generative functionality (e.g. generated text/image/code/dialogue or a stated LLM/generative model) as a meaningful part of the relevant education product</t>
  </si>
  <si>
    <t>The tool or its generated/mediated outputs can affect children's teaching, learning, assessment, feedback, access to information or classroom experience</t>
  </si>
  <si>
    <t>First-party evidence supports UK availability, or there is a current web service with explicit international availability that includes the UK</t>
  </si>
  <si>
    <t>Enough current public product/legal/safety material exists to support claim-versus-behaviour and governance analysis</t>
  </si>
  <si>
    <t>Relevant interface behaviour, generated content, histories, reports or other observable evidence can be preserved via built-in export/history or documented screenshots/notes</t>
  </si>
  <si>
    <t>Describe the product's interaction model and educational role (teacher-only, teacher-controlled student AI, whole-class interactive AI, specialist coding/story generation, etc.)</t>
  </si>
  <si>
    <t>Among tools that pass eligibility and are practically auditable, prefer five that provide distinct interaction models and rich evidence rather than five near-identical content generators</t>
  </si>
  <si>
    <t>Before the main audit, manually create/access accounts from the UK and confirm the advertised free/trial functionality actually works</t>
  </si>
  <si>
    <t>All Selected/Reserve tools are flagged for this final manual verification</t>
  </si>
  <si>
    <t>Final sample may be replaced by a Reserve only if live account verification fails</t>
  </si>
  <si>
    <t>Yes / Partial = Eligible</t>
  </si>
  <si>
    <t>Yes = Eligible</t>
  </si>
  <si>
    <t>Yes = Eligible
Partial = Eligible with limitations</t>
  </si>
  <si>
    <t>Yes = Eligible
Partial / Not Stated = Eligible with limitations</t>
  </si>
  <si>
    <t>School/educator version requires institutional access / no free access</t>
  </si>
  <si>
    <t>Child Rights/AI Governance Audit – Tool Selection Matrix</t>
  </si>
  <si>
    <t>An individual researcher can access the relevant product via a free plan, free trial, direct signup or readily accessible demo without institutional procurement</t>
  </si>
  <si>
    <t>Audit can be conducted without entering real student data or obtaining a genuine school deployment</t>
  </si>
  <si>
    <t>Enough of the live product is accessible to observe behaviours required by the eventual child-rights/AI-governance criteria</t>
  </si>
  <si>
    <t>Live access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</si>
</sst>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i/>
      <sz val="9"/>
      <name val="Calibri"/>
      <family val="2"/>
    </font>
    <font>
      <sz val="12"/>
      <color theme="1" tint="0.34998626667073579"/>
      <name val="Calibri"/>
      <family val="2"/>
      <scheme val="minor"/>
    </font>
    <font>
      <b/>
      <sz val="16"/>
      <color rgb="FFFF709E"/>
      <name val="Calibri"/>
      <family val="2"/>
    </font>
    <font>
      <b/>
      <sz val="11"/>
      <name val="Calibri (Body)"/>
    </font>
    <font>
      <sz val="11"/>
      <name val="Calibri (Body)"/>
    </font>
    <font>
      <u/>
      <sz val="11"/>
      <color rgb="FF0563C1"/>
      <name val="Calibri (Body)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709E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 (Body)"/>
    </font>
    <font>
      <b/>
      <sz val="11"/>
      <color rgb="FFFF709E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theme="0" tint="-0.14996795556505021"/>
        <bgColor indexed="65"/>
      </patternFill>
    </fill>
    <fill>
      <patternFill patternType="solid">
        <fgColor rgb="FFFFAFCA"/>
        <bgColor rgb="FF2F5496"/>
      </patternFill>
    </fill>
    <fill>
      <patternFill patternType="solid">
        <fgColor rgb="FFFFAFCA"/>
      </patternFill>
    </fill>
  </fills>
  <borders count="3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D7C7CE"/>
      </left>
      <right style="thin">
        <color rgb="FFD7C7CE"/>
      </right>
      <top style="thin">
        <color rgb="FFD7C7CE"/>
      </top>
      <bottom style="thin">
        <color rgb="FFD7C7CE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/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medium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/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2" fillId="3" borderId="1">
      <alignment vertical="center" wrapText="1"/>
    </xf>
    <xf numFmtId="0" fontId="7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0" xfId="0" applyFont="1"/>
    <xf numFmtId="0" fontId="12" fillId="0" borderId="3" xfId="0" applyFont="1" applyBorder="1" applyAlignment="1">
      <alignment wrapText="1"/>
    </xf>
    <xf numFmtId="0" fontId="12" fillId="0" borderId="3" xfId="0" applyFont="1" applyBorder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7" fillId="0" borderId="4" xfId="2" applyFill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3">
    <cellStyle name="Hyperlink" xfId="2" builtinId="8"/>
    <cellStyle name="Normal" xfId="0" builtinId="0"/>
    <cellStyle name="Style 1" xfId="1" xr:uid="{34795F33-8D1E-FC44-A8B4-F6225B2F7271}"/>
  </cellStyles>
  <dxfs count="5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theme="1" tint="0.2499465926084170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center" textRotation="0" wrapText="1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/>
        <strike val="0"/>
        <outline val="0"/>
        <shadow val="0"/>
        <u val="none"/>
        <vertAlign val="baseline"/>
        <sz val="11"/>
        <color rgb="FFFF709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alignment horizontal="left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</font>
      <alignment horizontal="left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medium">
          <color theme="1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Calibri (Body)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AFCA"/>
        </patternFill>
      </fill>
    </dxf>
  </dxfs>
  <tableStyles count="1" defaultTableStyle="TableStyleMedium9" defaultPivotStyle="PivotStyleLight16">
    <tableStyle name="Table Style 1" pivot="0" count="3" xr9:uid="{CD56EFB1-9CA4-C54E-8923-F512D1854E0B}">
      <tableStyleElement type="headerRow" dxfId="51"/>
      <tableStyleElement type="firstRowStripe" dxfId="50"/>
      <tableStyleElement type="firstColumnStripe" dxfId="49"/>
    </tableStyle>
  </tableStyles>
  <colors>
    <mruColors>
      <color rgb="FFFFAFCA"/>
      <color rgb="FFFF70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70705A-1F77-4A45-916A-5B1877CCA80B}" name="Table2" displayName="Table2" ref="A3:U36" totalsRowShown="0" headerRowDxfId="48" dataDxfId="46" headerRowBorderDxfId="47" tableBorderDxfId="45" totalsRowBorderDxfId="44">
  <autoFilter ref="A3:U36" xr:uid="{A770705A-1F77-4A45-916A-5B1877CCA80B}"/>
  <tableColumns count="21">
    <tableColumn id="1" xr3:uid="{64660C65-8ABA-8D4C-97B9-F057836A88B7}" name="Tool name" dataDxfId="43"/>
    <tableColumn id="4" xr3:uid="{E64966D0-8938-1547-BB05-D7F446C99D05}" name="Primary URL" dataDxfId="42"/>
    <tableColumn id="11" xr3:uid="{66CC62DE-B936-124E-B795-902D14B97BC7}" name="Teacher-facing" dataDxfId="41"/>
    <tableColumn id="12" xr3:uid="{FE1711F3-C86F-E94D-B364-A17FF4617AC0}" name="Teacher-mediated" dataDxfId="40"/>
    <tableColumn id="24" xr3:uid="{ED5E4B43-3F15-9845-9317-4D0A79CAE8F6}" name="Stage 1 decision" dataDxfId="39"/>
    <tableColumn id="13" xr3:uid="{A08A9E43-2B8E-9E4F-BDC8-9422D434FB20}" name="Originality" dataDxfId="38"/>
    <tableColumn id="14" xr3:uid="{509A87D9-217D-F748-B771-FAE278BA9021}" name="GenAI component" dataDxfId="37"/>
    <tableColumn id="16" xr3:uid="{E82435E4-E79B-A44E-A5C1-BB0ED6C7AA42}" name="Educational impact" dataDxfId="36"/>
    <tableColumn id="17" xr3:uid="{BFE826C3-5BF0-0A41-9B99-B3F24FD58DA4}" name="UK Accessibility" dataDxfId="35"/>
    <tableColumn id="18" xr3:uid="{5D7F4CD5-E325-1D4D-A26D-0B921E0CD8AB}" name="Documentation" dataDxfId="34"/>
    <tableColumn id="15" xr3:uid="{753E3ACB-A497-ED4B-B851-8E727781409D}" name="Stage 2 decision" dataDxfId="33"/>
    <tableColumn id="20" xr3:uid="{54F65EDC-4A4C-2E4E-BC81-CFE100C6E336}" name="Self-service practical access" dataDxfId="32"/>
    <tableColumn id="21" xr3:uid="{D3ED0448-8B23-0140-BFEE-083A683E965B}" name="No real school/student data required" dataDxfId="31"/>
    <tableColumn id="23" xr3:uid="{A546ECF9-6334-F541-92FD-3C3826B0AC87}" name="Observable relevant functionality" dataDxfId="30"/>
    <tableColumn id="28" xr3:uid="{D5E9A5F2-981D-E442-85B4-E0990C8744F6}" name="Evidence capture" dataDxfId="29"/>
    <tableColumn id="22" xr3:uid="{F1EEDFCA-3450-0F42-9535-F110658C494A}" name="Stage 3 decision" dataDxfId="28"/>
    <tableColumn id="25" xr3:uid="{F6FE10F7-030E-D441-84CE-93C234338D25}" name="Variation contribution" dataDxfId="27"/>
    <tableColumn id="27" xr3:uid="{A42DCD6A-5C82-D846-BFED-DE22D9EB6914}" name="Final decision" dataDxfId="26"/>
    <tableColumn id="29" xr3:uid="{19E482E3-61E3-254B-9332-3B175C10FB35}" name="Decision rationale" dataDxfId="25"/>
    <tableColumn id="2" xr3:uid="{A5F9729B-5BFF-474F-9BB5-F20393A84F62}" name="Manual verification required" dataDxfId="24"/>
    <tableColumn id="32" xr3:uid="{A4979E60-4200-3345-BAE1-8997EA897995}" name="Live access verified" dataDxfId="23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3C70D-599D-EE46-B100-B01626330413}" name="Table1" displayName="Table1" ref="A4:E18" totalsRowShown="0" headerRowDxfId="22" dataDxfId="20" headerRowBorderDxfId="21" tableBorderDxfId="19" totalsRowBorderDxfId="18">
  <autoFilter ref="A4:E18" xr:uid="{1CA3C70D-599D-EE46-B100-B01626330413}"/>
  <tableColumns count="5">
    <tableColumn id="1" xr3:uid="{6ADEC242-B54B-5F49-A97E-A67558C77FA0}" name="Stage" dataDxfId="17"/>
    <tableColumn id="2" xr3:uid="{DAE342CE-D4C6-C24B-8443-F6425478FDA5}" name="Criterion / action" dataDxfId="16"/>
    <tableColumn id="3" xr3:uid="{B807E6FC-E116-A546-984C-BEFD4BDE6CAA}" name="Operational definition" dataDxfId="15"/>
    <tableColumn id="4" xr3:uid="{0B4A118E-EF45-F94C-BCEE-ED85D1AE9803}" name="Evidence / decision rule" dataDxfId="14"/>
    <tableColumn id="5" xr3:uid="{2E3B4C3E-6C83-5349-B699-EE91DAE25E39}" name="Output" dataDxfId="13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uripod.com/" TargetMode="External"/><Relationship Id="rId18" Type="http://schemas.openxmlformats.org/officeDocument/2006/relationships/hyperlink" Target="https://flintk12.com/" TargetMode="External"/><Relationship Id="rId26" Type="http://schemas.openxmlformats.org/officeDocument/2006/relationships/hyperlink" Target="https://kidschatgpt.com/" TargetMode="External"/><Relationship Id="rId3" Type="http://schemas.openxmlformats.org/officeDocument/2006/relationships/hyperlink" Target="https://www.magicschool.ai/" TargetMode="External"/><Relationship Id="rId21" Type="http://schemas.openxmlformats.org/officeDocument/2006/relationships/hyperlink" Target="https://www.lalilo.com/" TargetMode="External"/><Relationship Id="rId7" Type="http://schemas.openxmlformats.org/officeDocument/2006/relationships/hyperlink" Target="https://amiralearning.com/" TargetMode="External"/><Relationship Id="rId12" Type="http://schemas.openxmlformats.org/officeDocument/2006/relationships/hyperlink" Target="https://www.cognii.com/" TargetMode="External"/><Relationship Id="rId17" Type="http://schemas.openxmlformats.org/officeDocument/2006/relationships/hyperlink" Target="https://www.briskteaching.com/" TargetMode="External"/><Relationship Id="rId25" Type="http://schemas.openxmlformats.org/officeDocument/2006/relationships/hyperlink" Target="https://www.storytailor.com/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www.kindergpt.com/" TargetMode="External"/><Relationship Id="rId16" Type="http://schemas.openxmlformats.org/officeDocument/2006/relationships/hyperlink" Target="https://squirrelai.com/" TargetMode="External"/><Relationship Id="rId20" Type="http://schemas.openxmlformats.org/officeDocument/2006/relationships/hyperlink" Target="https://www.khanmigo.ai/" TargetMode="External"/><Relationship Id="rId29" Type="http://schemas.openxmlformats.org/officeDocument/2006/relationships/hyperlink" Target="https://www.talkiepal.com/" TargetMode="External"/><Relationship Id="rId1" Type="http://schemas.openxmlformats.org/officeDocument/2006/relationships/hyperlink" Target="https://www.abcmouse.com/" TargetMode="External"/><Relationship Id="rId6" Type="http://schemas.openxmlformats.org/officeDocument/2006/relationships/hyperlink" Target="https://www.aleks.com/" TargetMode="External"/><Relationship Id="rId11" Type="http://schemas.openxmlformats.org/officeDocument/2006/relationships/hyperlink" Target="https://cogitocoach.com/" TargetMode="External"/><Relationship Id="rId24" Type="http://schemas.openxmlformats.org/officeDocument/2006/relationships/hyperlink" Target="https://www.dreambox.com/" TargetMode="External"/><Relationship Id="rId32" Type="http://schemas.openxmlformats.org/officeDocument/2006/relationships/hyperlink" Target="https://octa-ai.app/" TargetMode="External"/><Relationship Id="rId5" Type="http://schemas.openxmlformats.org/officeDocument/2006/relationships/hyperlink" Target="https://kidsai.app/" TargetMode="External"/><Relationship Id="rId15" Type="http://schemas.openxmlformats.org/officeDocument/2006/relationships/hyperlink" Target="https://www.kodable.com/" TargetMode="External"/><Relationship Id="rId23" Type="http://schemas.openxmlformats.org/officeDocument/2006/relationships/hyperlink" Target="https://www.carnegielearning.com/mathia" TargetMode="External"/><Relationship Id="rId28" Type="http://schemas.openxmlformats.org/officeDocument/2006/relationships/hyperlink" Target="https://hi-eureka.com/" TargetMode="External"/><Relationship Id="rId10" Type="http://schemas.openxmlformats.org/officeDocument/2006/relationships/hyperlink" Target="https://schoolai.com/" TargetMode="External"/><Relationship Id="rId19" Type="http://schemas.openxmlformats.org/officeDocument/2006/relationships/hyperlink" Target="https://www.ixl.com/" TargetMode="External"/><Relationship Id="rId31" Type="http://schemas.openxmlformats.org/officeDocument/2006/relationships/hyperlink" Target="https://www.pinwheel.com/gpt" TargetMode="External"/><Relationship Id="rId4" Type="http://schemas.openxmlformats.org/officeDocument/2006/relationships/hyperlink" Target="https://www.ello.com/" TargetMode="External"/><Relationship Id="rId9" Type="http://schemas.openxmlformats.org/officeDocument/2006/relationships/hyperlink" Target="https://www.heyotto.app/" TargetMode="External"/><Relationship Id="rId14" Type="http://schemas.openxmlformats.org/officeDocument/2006/relationships/hyperlink" Target="https://web.diffit.me/" TargetMode="External"/><Relationship Id="rId22" Type="http://schemas.openxmlformats.org/officeDocument/2006/relationships/hyperlink" Target="https://www.littlelit.ai/" TargetMode="External"/><Relationship Id="rId27" Type="http://schemas.openxmlformats.org/officeDocument/2006/relationships/hyperlink" Target="https://photomath.com/" TargetMode="External"/><Relationship Id="rId30" Type="http://schemas.openxmlformats.org/officeDocument/2006/relationships/hyperlink" Target="https://curiositylabs.ai/" TargetMode="External"/><Relationship Id="rId8" Type="http://schemas.openxmlformats.org/officeDocument/2006/relationships/hyperlink" Target="https://www.century.tec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E1F1-DD60-7543-BE51-9F2697E120A6}">
  <dimension ref="A1:U40"/>
  <sheetViews>
    <sheetView showGridLines="0" tabSelected="1" zoomScale="91" zoomScaleNormal="100" workbookViewId="0">
      <pane xSplit="1" ySplit="3" topLeftCell="B4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83203125" defaultRowHeight="15" x14ac:dyDescent="0.2"/>
  <cols>
    <col min="1" max="1" width="17.1640625" style="1" customWidth="1"/>
    <col min="2" max="2" width="19.6640625" style="1" customWidth="1"/>
    <col min="3" max="16" width="12.83203125" style="1" customWidth="1"/>
    <col min="17" max="17" width="25.83203125" style="1" customWidth="1"/>
    <col min="18" max="18" width="11.1640625" style="12" customWidth="1"/>
    <col min="19" max="19" width="40" style="1" customWidth="1"/>
    <col min="20" max="21" width="12.83203125" style="12" customWidth="1"/>
    <col min="22" max="16384" width="8.83203125" style="1"/>
  </cols>
  <sheetData>
    <row r="1" spans="1:21" ht="21" x14ac:dyDescent="0.2">
      <c r="A1" s="4" t="s">
        <v>173</v>
      </c>
    </row>
    <row r="3" spans="1:21" s="2" customFormat="1" ht="35" customHeight="1" x14ac:dyDescent="0.2">
      <c r="A3" s="13" t="s">
        <v>0</v>
      </c>
      <c r="B3" s="14" t="s">
        <v>1</v>
      </c>
      <c r="C3" s="14" t="s">
        <v>69</v>
      </c>
      <c r="D3" s="14" t="s">
        <v>80</v>
      </c>
      <c r="E3" s="31" t="s">
        <v>84</v>
      </c>
      <c r="F3" s="13" t="s">
        <v>76</v>
      </c>
      <c r="G3" s="14" t="s">
        <v>77</v>
      </c>
      <c r="H3" s="14" t="s">
        <v>78</v>
      </c>
      <c r="I3" s="14" t="s">
        <v>81</v>
      </c>
      <c r="J3" s="14" t="s">
        <v>79</v>
      </c>
      <c r="K3" s="31" t="s">
        <v>99</v>
      </c>
      <c r="L3" s="13" t="s">
        <v>95</v>
      </c>
      <c r="M3" s="14" t="s">
        <v>96</v>
      </c>
      <c r="N3" s="14" t="s">
        <v>97</v>
      </c>
      <c r="O3" s="14" t="s">
        <v>98</v>
      </c>
      <c r="P3" s="31" t="s">
        <v>100</v>
      </c>
      <c r="Q3" s="13" t="s">
        <v>101</v>
      </c>
      <c r="R3" s="14" t="s">
        <v>82</v>
      </c>
      <c r="S3" s="14" t="s">
        <v>83</v>
      </c>
      <c r="T3" s="15" t="s">
        <v>94</v>
      </c>
      <c r="U3" s="59" t="s">
        <v>177</v>
      </c>
    </row>
    <row r="4" spans="1:21" s="2" customFormat="1" ht="32" x14ac:dyDescent="0.2">
      <c r="A4" s="16" t="s">
        <v>2</v>
      </c>
      <c r="B4" s="17" t="s">
        <v>3</v>
      </c>
      <c r="C4" s="18" t="s">
        <v>9</v>
      </c>
      <c r="D4" s="18" t="s">
        <v>4</v>
      </c>
      <c r="E4" s="32" t="s">
        <v>88</v>
      </c>
      <c r="F4" s="30" t="s">
        <v>4</v>
      </c>
      <c r="G4" s="18" t="s">
        <v>5</v>
      </c>
      <c r="H4" s="18" t="s">
        <v>103</v>
      </c>
      <c r="I4" s="18" t="s">
        <v>103</v>
      </c>
      <c r="J4" s="18" t="s">
        <v>103</v>
      </c>
      <c r="K4" s="32" t="s">
        <v>108</v>
      </c>
      <c r="L4" s="30" t="s">
        <v>103</v>
      </c>
      <c r="M4" s="18" t="s">
        <v>103</v>
      </c>
      <c r="N4" s="18" t="s">
        <v>103</v>
      </c>
      <c r="O4" s="18" t="s">
        <v>103</v>
      </c>
      <c r="P4" s="32" t="s">
        <v>102</v>
      </c>
      <c r="Q4" s="37" t="s">
        <v>104</v>
      </c>
      <c r="R4" s="19" t="s">
        <v>92</v>
      </c>
      <c r="S4" s="20" t="s">
        <v>105</v>
      </c>
      <c r="T4" s="21" t="s">
        <v>5</v>
      </c>
      <c r="U4" s="21" t="s">
        <v>104</v>
      </c>
    </row>
    <row r="5" spans="1:21" s="2" customFormat="1" ht="32" x14ac:dyDescent="0.2">
      <c r="A5" s="16" t="s">
        <v>16</v>
      </c>
      <c r="B5" s="17" t="s">
        <v>17</v>
      </c>
      <c r="C5" s="18" t="s">
        <v>4</v>
      </c>
      <c r="D5" s="18" t="s">
        <v>4</v>
      </c>
      <c r="E5" s="32" t="s">
        <v>88</v>
      </c>
      <c r="F5" s="30" t="s">
        <v>4</v>
      </c>
      <c r="G5" s="18" t="s">
        <v>5</v>
      </c>
      <c r="H5" s="18" t="s">
        <v>103</v>
      </c>
      <c r="I5" s="18" t="s">
        <v>103</v>
      </c>
      <c r="J5" s="18" t="s">
        <v>103</v>
      </c>
      <c r="K5" s="32" t="s">
        <v>108</v>
      </c>
      <c r="L5" s="30" t="s">
        <v>103</v>
      </c>
      <c r="M5" s="18" t="s">
        <v>103</v>
      </c>
      <c r="N5" s="18" t="s">
        <v>103</v>
      </c>
      <c r="O5" s="18" t="s">
        <v>103</v>
      </c>
      <c r="P5" s="32" t="s">
        <v>102</v>
      </c>
      <c r="Q5" s="37" t="s">
        <v>104</v>
      </c>
      <c r="R5" s="19" t="s">
        <v>92</v>
      </c>
      <c r="S5" s="20" t="s">
        <v>105</v>
      </c>
      <c r="T5" s="21" t="s">
        <v>5</v>
      </c>
      <c r="U5" s="21" t="s">
        <v>104</v>
      </c>
    </row>
    <row r="6" spans="1:21" s="2" customFormat="1" ht="32" x14ac:dyDescent="0.2">
      <c r="A6" s="16" t="s">
        <v>18</v>
      </c>
      <c r="B6" s="17" t="s">
        <v>19</v>
      </c>
      <c r="C6" s="18" t="s">
        <v>4</v>
      </c>
      <c r="D6" s="18" t="s">
        <v>4</v>
      </c>
      <c r="E6" s="32" t="s">
        <v>88</v>
      </c>
      <c r="F6" s="30" t="s">
        <v>4</v>
      </c>
      <c r="G6" s="18" t="s">
        <v>5</v>
      </c>
      <c r="H6" s="18" t="s">
        <v>103</v>
      </c>
      <c r="I6" s="18" t="s">
        <v>103</v>
      </c>
      <c r="J6" s="18" t="s">
        <v>103</v>
      </c>
      <c r="K6" s="32" t="s">
        <v>108</v>
      </c>
      <c r="L6" s="30" t="s">
        <v>103</v>
      </c>
      <c r="M6" s="18" t="s">
        <v>103</v>
      </c>
      <c r="N6" s="18" t="s">
        <v>103</v>
      </c>
      <c r="O6" s="18" t="s">
        <v>103</v>
      </c>
      <c r="P6" s="32" t="s">
        <v>102</v>
      </c>
      <c r="Q6" s="37" t="s">
        <v>104</v>
      </c>
      <c r="R6" s="19" t="s">
        <v>92</v>
      </c>
      <c r="S6" s="20" t="s">
        <v>105</v>
      </c>
      <c r="T6" s="21" t="s">
        <v>5</v>
      </c>
      <c r="U6" s="21" t="s">
        <v>104</v>
      </c>
    </row>
    <row r="7" spans="1:21" s="2" customFormat="1" ht="80" x14ac:dyDescent="0.2">
      <c r="A7" s="16" t="s">
        <v>14</v>
      </c>
      <c r="B7" s="17" t="s">
        <v>15</v>
      </c>
      <c r="C7" s="18" t="s">
        <v>4</v>
      </c>
      <c r="D7" s="18" t="s">
        <v>4</v>
      </c>
      <c r="E7" s="32" t="s">
        <v>88</v>
      </c>
      <c r="F7" s="30" t="s">
        <v>4</v>
      </c>
      <c r="G7" s="18" t="s">
        <v>4</v>
      </c>
      <c r="H7" s="18" t="s">
        <v>4</v>
      </c>
      <c r="I7" s="18" t="s">
        <v>4</v>
      </c>
      <c r="J7" s="18" t="s">
        <v>4</v>
      </c>
      <c r="K7" s="32" t="s">
        <v>88</v>
      </c>
      <c r="L7" s="30" t="s">
        <v>4</v>
      </c>
      <c r="M7" s="18" t="s">
        <v>4</v>
      </c>
      <c r="N7" s="18" t="s">
        <v>4</v>
      </c>
      <c r="O7" s="18" t="s">
        <v>4</v>
      </c>
      <c r="P7" s="32" t="s">
        <v>88</v>
      </c>
      <c r="Q7" s="37" t="s">
        <v>109</v>
      </c>
      <c r="R7" s="19" t="s">
        <v>89</v>
      </c>
      <c r="S7" s="20" t="s">
        <v>120</v>
      </c>
      <c r="T7" s="21" t="s">
        <v>4</v>
      </c>
      <c r="U7" s="21" t="s">
        <v>4</v>
      </c>
    </row>
    <row r="8" spans="1:21" s="2" customFormat="1" ht="80" x14ac:dyDescent="0.2">
      <c r="A8" s="16" t="s">
        <v>38</v>
      </c>
      <c r="B8" s="17" t="s">
        <v>39</v>
      </c>
      <c r="C8" s="18" t="s">
        <v>4</v>
      </c>
      <c r="D8" s="18" t="s">
        <v>4</v>
      </c>
      <c r="E8" s="32" t="s">
        <v>88</v>
      </c>
      <c r="F8" s="30" t="s">
        <v>4</v>
      </c>
      <c r="G8" s="18" t="s">
        <v>4</v>
      </c>
      <c r="H8" s="18" t="s">
        <v>4</v>
      </c>
      <c r="I8" s="18" t="s">
        <v>4</v>
      </c>
      <c r="J8" s="18" t="s">
        <v>4</v>
      </c>
      <c r="K8" s="32" t="s">
        <v>88</v>
      </c>
      <c r="L8" s="30" t="s">
        <v>4</v>
      </c>
      <c r="M8" s="18" t="s">
        <v>4</v>
      </c>
      <c r="N8" s="18" t="s">
        <v>4</v>
      </c>
      <c r="O8" s="18" t="s">
        <v>4</v>
      </c>
      <c r="P8" s="32" t="s">
        <v>88</v>
      </c>
      <c r="Q8" s="37" t="s">
        <v>111</v>
      </c>
      <c r="R8" s="19" t="s">
        <v>89</v>
      </c>
      <c r="S8" s="20" t="s">
        <v>121</v>
      </c>
      <c r="T8" s="21" t="s">
        <v>4</v>
      </c>
      <c r="U8" s="21" t="s">
        <v>4</v>
      </c>
    </row>
    <row r="9" spans="1:21" s="2" customFormat="1" ht="32" x14ac:dyDescent="0.2">
      <c r="A9" s="16" t="s">
        <v>20</v>
      </c>
      <c r="B9" s="17" t="s">
        <v>21</v>
      </c>
      <c r="C9" s="18" t="s">
        <v>4</v>
      </c>
      <c r="D9" s="18" t="s">
        <v>4</v>
      </c>
      <c r="E9" s="32" t="s">
        <v>88</v>
      </c>
      <c r="F9" s="30" t="s">
        <v>4</v>
      </c>
      <c r="G9" s="18" t="s">
        <v>4</v>
      </c>
      <c r="H9" s="18" t="s">
        <v>4</v>
      </c>
      <c r="I9" s="18" t="s">
        <v>4</v>
      </c>
      <c r="J9" s="18" t="s">
        <v>4</v>
      </c>
      <c r="K9" s="32" t="s">
        <v>88</v>
      </c>
      <c r="L9" s="30" t="s">
        <v>5</v>
      </c>
      <c r="M9" s="18" t="s">
        <v>103</v>
      </c>
      <c r="N9" s="18" t="s">
        <v>103</v>
      </c>
      <c r="O9" s="18" t="s">
        <v>103</v>
      </c>
      <c r="P9" s="32" t="s">
        <v>108</v>
      </c>
      <c r="Q9" s="37" t="s">
        <v>104</v>
      </c>
      <c r="R9" s="19" t="s">
        <v>92</v>
      </c>
      <c r="S9" s="22" t="s">
        <v>172</v>
      </c>
      <c r="T9" s="21" t="s">
        <v>5</v>
      </c>
      <c r="U9" s="21" t="s">
        <v>104</v>
      </c>
    </row>
    <row r="10" spans="1:21" s="2" customFormat="1" ht="48" x14ac:dyDescent="0.2">
      <c r="A10" s="16" t="s">
        <v>26</v>
      </c>
      <c r="B10" s="17" t="s">
        <v>27</v>
      </c>
      <c r="C10" s="18" t="s">
        <v>4</v>
      </c>
      <c r="D10" s="18" t="s">
        <v>4</v>
      </c>
      <c r="E10" s="32" t="s">
        <v>88</v>
      </c>
      <c r="F10" s="30" t="s">
        <v>4</v>
      </c>
      <c r="G10" s="18" t="s">
        <v>4</v>
      </c>
      <c r="H10" s="18" t="s">
        <v>4</v>
      </c>
      <c r="I10" s="18" t="s">
        <v>6</v>
      </c>
      <c r="J10" s="18" t="s">
        <v>9</v>
      </c>
      <c r="K10" s="32" t="s">
        <v>90</v>
      </c>
      <c r="L10" s="30" t="s">
        <v>4</v>
      </c>
      <c r="M10" s="18" t="s">
        <v>4</v>
      </c>
      <c r="N10" s="18" t="s">
        <v>4</v>
      </c>
      <c r="O10" s="18" t="s">
        <v>4</v>
      </c>
      <c r="P10" s="32" t="s">
        <v>90</v>
      </c>
      <c r="Q10" s="37" t="s">
        <v>112</v>
      </c>
      <c r="R10" s="19" t="s">
        <v>92</v>
      </c>
      <c r="S10" s="20" t="s">
        <v>122</v>
      </c>
      <c r="T10" s="21" t="s">
        <v>5</v>
      </c>
      <c r="U10" s="21" t="s">
        <v>104</v>
      </c>
    </row>
    <row r="11" spans="1:21" s="2" customFormat="1" ht="32" x14ac:dyDescent="0.2">
      <c r="A11" s="16" t="s">
        <v>28</v>
      </c>
      <c r="B11" s="17" t="s">
        <v>29</v>
      </c>
      <c r="C11" s="18" t="s">
        <v>4</v>
      </c>
      <c r="D11" s="18" t="s">
        <v>4</v>
      </c>
      <c r="E11" s="32" t="s">
        <v>88</v>
      </c>
      <c r="F11" s="30" t="s">
        <v>4</v>
      </c>
      <c r="G11" s="18" t="s">
        <v>5</v>
      </c>
      <c r="H11" s="18" t="s">
        <v>103</v>
      </c>
      <c r="I11" s="18" t="s">
        <v>103</v>
      </c>
      <c r="J11" s="18" t="s">
        <v>103</v>
      </c>
      <c r="K11" s="32" t="s">
        <v>108</v>
      </c>
      <c r="L11" s="30" t="s">
        <v>103</v>
      </c>
      <c r="M11" s="18" t="s">
        <v>103</v>
      </c>
      <c r="N11" s="18" t="s">
        <v>103</v>
      </c>
      <c r="O11" s="18" t="s">
        <v>103</v>
      </c>
      <c r="P11" s="32" t="s">
        <v>102</v>
      </c>
      <c r="Q11" s="37" t="s">
        <v>104</v>
      </c>
      <c r="R11" s="19" t="s">
        <v>92</v>
      </c>
      <c r="S11" s="20" t="s">
        <v>132</v>
      </c>
      <c r="T11" s="21" t="s">
        <v>5</v>
      </c>
      <c r="U11" s="21" t="s">
        <v>104</v>
      </c>
    </row>
    <row r="12" spans="1:21" s="2" customFormat="1" ht="80" x14ac:dyDescent="0.2">
      <c r="A12" s="16" t="s">
        <v>30</v>
      </c>
      <c r="B12" s="17" t="s">
        <v>31</v>
      </c>
      <c r="C12" s="18" t="s">
        <v>4</v>
      </c>
      <c r="D12" s="18" t="s">
        <v>4</v>
      </c>
      <c r="E12" s="32" t="s">
        <v>88</v>
      </c>
      <c r="F12" s="30" t="s">
        <v>4</v>
      </c>
      <c r="G12" s="18" t="s">
        <v>4</v>
      </c>
      <c r="H12" s="18" t="s">
        <v>4</v>
      </c>
      <c r="I12" s="18" t="s">
        <v>4</v>
      </c>
      <c r="J12" s="18" t="s">
        <v>4</v>
      </c>
      <c r="K12" s="32" t="s">
        <v>88</v>
      </c>
      <c r="L12" s="30" t="s">
        <v>4</v>
      </c>
      <c r="M12" s="18" t="s">
        <v>4</v>
      </c>
      <c r="N12" s="18" t="s">
        <v>4</v>
      </c>
      <c r="O12" s="18" t="s">
        <v>4</v>
      </c>
      <c r="P12" s="32" t="s">
        <v>88</v>
      </c>
      <c r="Q12" s="37" t="s">
        <v>113</v>
      </c>
      <c r="R12" s="19" t="s">
        <v>89</v>
      </c>
      <c r="S12" s="20" t="s">
        <v>123</v>
      </c>
      <c r="T12" s="21" t="s">
        <v>4</v>
      </c>
      <c r="U12" s="21" t="s">
        <v>4</v>
      </c>
    </row>
    <row r="13" spans="1:21" s="2" customFormat="1" ht="80" x14ac:dyDescent="0.2">
      <c r="A13" s="16" t="s">
        <v>32</v>
      </c>
      <c r="B13" s="17" t="s">
        <v>33</v>
      </c>
      <c r="C13" s="18" t="s">
        <v>4</v>
      </c>
      <c r="D13" s="18" t="s">
        <v>4</v>
      </c>
      <c r="E13" s="32" t="s">
        <v>88</v>
      </c>
      <c r="F13" s="30" t="s">
        <v>4</v>
      </c>
      <c r="G13" s="18" t="s">
        <v>4</v>
      </c>
      <c r="H13" s="18" t="s">
        <v>4</v>
      </c>
      <c r="I13" s="18" t="s">
        <v>6</v>
      </c>
      <c r="J13" s="18" t="s">
        <v>4</v>
      </c>
      <c r="K13" s="32" t="s">
        <v>90</v>
      </c>
      <c r="L13" s="30" t="s">
        <v>4</v>
      </c>
      <c r="M13" s="18" t="s">
        <v>4</v>
      </c>
      <c r="N13" s="18" t="s">
        <v>4</v>
      </c>
      <c r="O13" s="18" t="s">
        <v>4</v>
      </c>
      <c r="P13" s="32" t="s">
        <v>90</v>
      </c>
      <c r="Q13" s="37" t="s">
        <v>114</v>
      </c>
      <c r="R13" s="19" t="s">
        <v>91</v>
      </c>
      <c r="S13" s="20" t="s">
        <v>124</v>
      </c>
      <c r="T13" s="21" t="s">
        <v>4</v>
      </c>
      <c r="U13" s="21" t="s">
        <v>104</v>
      </c>
    </row>
    <row r="14" spans="1:21" s="2" customFormat="1" ht="32" x14ac:dyDescent="0.2">
      <c r="A14" s="16" t="s">
        <v>54</v>
      </c>
      <c r="B14" s="17" t="s">
        <v>55</v>
      </c>
      <c r="C14" s="18" t="s">
        <v>4</v>
      </c>
      <c r="D14" s="18" t="s">
        <v>4</v>
      </c>
      <c r="E14" s="32" t="s">
        <v>88</v>
      </c>
      <c r="F14" s="30" t="s">
        <v>4</v>
      </c>
      <c r="G14" s="18" t="s">
        <v>5</v>
      </c>
      <c r="H14" s="18" t="s">
        <v>103</v>
      </c>
      <c r="I14" s="18" t="s">
        <v>103</v>
      </c>
      <c r="J14" s="18" t="s">
        <v>103</v>
      </c>
      <c r="K14" s="32" t="s">
        <v>108</v>
      </c>
      <c r="L14" s="30" t="s">
        <v>103</v>
      </c>
      <c r="M14" s="18" t="s">
        <v>103</v>
      </c>
      <c r="N14" s="18" t="s">
        <v>103</v>
      </c>
      <c r="O14" s="18" t="s">
        <v>103</v>
      </c>
      <c r="P14" s="32" t="s">
        <v>102</v>
      </c>
      <c r="Q14" s="37" t="s">
        <v>104</v>
      </c>
      <c r="R14" s="19" t="s">
        <v>92</v>
      </c>
      <c r="S14" s="20" t="s">
        <v>105</v>
      </c>
      <c r="T14" s="21" t="s">
        <v>5</v>
      </c>
      <c r="U14" s="21" t="s">
        <v>104</v>
      </c>
    </row>
    <row r="15" spans="1:21" s="2" customFormat="1" ht="32" x14ac:dyDescent="0.2">
      <c r="A15" s="16" t="s">
        <v>12</v>
      </c>
      <c r="B15" s="17" t="s">
        <v>13</v>
      </c>
      <c r="C15" s="18" t="s">
        <v>9</v>
      </c>
      <c r="D15" s="18" t="s">
        <v>4</v>
      </c>
      <c r="E15" s="32" t="s">
        <v>88</v>
      </c>
      <c r="F15" s="30" t="s">
        <v>4</v>
      </c>
      <c r="G15" s="18" t="s">
        <v>5</v>
      </c>
      <c r="H15" s="18" t="s">
        <v>103</v>
      </c>
      <c r="I15" s="18" t="s">
        <v>103</v>
      </c>
      <c r="J15" s="18" t="s">
        <v>103</v>
      </c>
      <c r="K15" s="32" t="s">
        <v>108</v>
      </c>
      <c r="L15" s="30" t="s">
        <v>103</v>
      </c>
      <c r="M15" s="18" t="s">
        <v>103</v>
      </c>
      <c r="N15" s="18" t="s">
        <v>103</v>
      </c>
      <c r="O15" s="18" t="s">
        <v>103</v>
      </c>
      <c r="P15" s="32" t="s">
        <v>102</v>
      </c>
      <c r="Q15" s="37" t="s">
        <v>104</v>
      </c>
      <c r="R15" s="19" t="s">
        <v>92</v>
      </c>
      <c r="S15" s="20" t="s">
        <v>105</v>
      </c>
      <c r="T15" s="21" t="s">
        <v>5</v>
      </c>
      <c r="U15" s="21" t="s">
        <v>104</v>
      </c>
    </row>
    <row r="16" spans="1:21" s="2" customFormat="1" ht="80" x14ac:dyDescent="0.2">
      <c r="A16" s="16" t="s">
        <v>40</v>
      </c>
      <c r="B16" s="17" t="s">
        <v>41</v>
      </c>
      <c r="C16" s="18" t="s">
        <v>4</v>
      </c>
      <c r="D16" s="18" t="s">
        <v>4</v>
      </c>
      <c r="E16" s="32" t="s">
        <v>88</v>
      </c>
      <c r="F16" s="30" t="s">
        <v>4</v>
      </c>
      <c r="G16" s="18" t="s">
        <v>4</v>
      </c>
      <c r="H16" s="18" t="s">
        <v>4</v>
      </c>
      <c r="I16" s="18" t="s">
        <v>4</v>
      </c>
      <c r="J16" s="18" t="s">
        <v>4</v>
      </c>
      <c r="K16" s="32" t="s">
        <v>88</v>
      </c>
      <c r="L16" s="30" t="s">
        <v>4</v>
      </c>
      <c r="M16" s="18" t="s">
        <v>4</v>
      </c>
      <c r="N16" s="18" t="s">
        <v>9</v>
      </c>
      <c r="O16" s="18" t="s">
        <v>9</v>
      </c>
      <c r="P16" s="32" t="s">
        <v>90</v>
      </c>
      <c r="Q16" s="37" t="s">
        <v>115</v>
      </c>
      <c r="R16" s="19" t="s">
        <v>91</v>
      </c>
      <c r="S16" s="20" t="s">
        <v>129</v>
      </c>
      <c r="T16" s="21" t="s">
        <v>4</v>
      </c>
      <c r="U16" s="21" t="s">
        <v>104</v>
      </c>
    </row>
    <row r="17" spans="1:21" s="2" customFormat="1" ht="32" x14ac:dyDescent="0.2">
      <c r="A17" s="16" t="s">
        <v>22</v>
      </c>
      <c r="B17" s="17" t="s">
        <v>23</v>
      </c>
      <c r="C17" s="18" t="s">
        <v>4</v>
      </c>
      <c r="D17" s="18" t="s">
        <v>4</v>
      </c>
      <c r="E17" s="32" t="s">
        <v>88</v>
      </c>
      <c r="F17" s="30" t="s">
        <v>4</v>
      </c>
      <c r="G17" s="18" t="s">
        <v>4</v>
      </c>
      <c r="H17" s="18" t="s">
        <v>4</v>
      </c>
      <c r="I17" s="18" t="s">
        <v>6</v>
      </c>
      <c r="J17" s="18" t="s">
        <v>4</v>
      </c>
      <c r="K17" s="32" t="s">
        <v>90</v>
      </c>
      <c r="L17" s="30" t="s">
        <v>5</v>
      </c>
      <c r="M17" s="18" t="s">
        <v>103</v>
      </c>
      <c r="N17" s="18" t="s">
        <v>103</v>
      </c>
      <c r="O17" s="18" t="s">
        <v>103</v>
      </c>
      <c r="P17" s="32" t="s">
        <v>108</v>
      </c>
      <c r="Q17" s="37" t="s">
        <v>104</v>
      </c>
      <c r="R17" s="19" t="s">
        <v>92</v>
      </c>
      <c r="S17" s="22" t="s">
        <v>172</v>
      </c>
      <c r="T17" s="21" t="s">
        <v>5</v>
      </c>
      <c r="U17" s="21" t="s">
        <v>104</v>
      </c>
    </row>
    <row r="18" spans="1:21" s="2" customFormat="1" ht="32" x14ac:dyDescent="0.2">
      <c r="A18" s="16" t="s">
        <v>42</v>
      </c>
      <c r="B18" s="17" t="s">
        <v>43</v>
      </c>
      <c r="C18" s="18" t="s">
        <v>5</v>
      </c>
      <c r="D18" s="18" t="s">
        <v>5</v>
      </c>
      <c r="E18" s="32" t="s">
        <v>108</v>
      </c>
      <c r="F18" s="30" t="s">
        <v>103</v>
      </c>
      <c r="G18" s="18" t="s">
        <v>103</v>
      </c>
      <c r="H18" s="18" t="s">
        <v>103</v>
      </c>
      <c r="I18" s="18" t="s">
        <v>103</v>
      </c>
      <c r="J18" s="18" t="s">
        <v>103</v>
      </c>
      <c r="K18" s="32" t="s">
        <v>102</v>
      </c>
      <c r="L18" s="30" t="s">
        <v>103</v>
      </c>
      <c r="M18" s="18" t="s">
        <v>103</v>
      </c>
      <c r="N18" s="18" t="s">
        <v>103</v>
      </c>
      <c r="O18" s="18" t="s">
        <v>103</v>
      </c>
      <c r="P18" s="32" t="s">
        <v>102</v>
      </c>
      <c r="Q18" s="37" t="s">
        <v>104</v>
      </c>
      <c r="R18" s="19" t="s">
        <v>92</v>
      </c>
      <c r="S18" s="20" t="s">
        <v>107</v>
      </c>
      <c r="T18" s="21" t="s">
        <v>5</v>
      </c>
      <c r="U18" s="21" t="s">
        <v>104</v>
      </c>
    </row>
    <row r="19" spans="1:21" s="2" customFormat="1" ht="32" x14ac:dyDescent="0.2">
      <c r="A19" s="16" t="s">
        <v>44</v>
      </c>
      <c r="B19" s="17" t="s">
        <v>45</v>
      </c>
      <c r="C19" s="18" t="s">
        <v>4</v>
      </c>
      <c r="D19" s="18" t="s">
        <v>4</v>
      </c>
      <c r="E19" s="32" t="s">
        <v>88</v>
      </c>
      <c r="F19" s="30" t="s">
        <v>4</v>
      </c>
      <c r="G19" s="18" t="s">
        <v>5</v>
      </c>
      <c r="H19" s="18" t="s">
        <v>103</v>
      </c>
      <c r="I19" s="18" t="s">
        <v>103</v>
      </c>
      <c r="J19" s="18" t="s">
        <v>103</v>
      </c>
      <c r="K19" s="32" t="s">
        <v>108</v>
      </c>
      <c r="L19" s="30" t="s">
        <v>103</v>
      </c>
      <c r="M19" s="18" t="s">
        <v>103</v>
      </c>
      <c r="N19" s="18" t="s">
        <v>103</v>
      </c>
      <c r="O19" s="18" t="s">
        <v>103</v>
      </c>
      <c r="P19" s="32" t="s">
        <v>102</v>
      </c>
      <c r="Q19" s="37" t="s">
        <v>104</v>
      </c>
      <c r="R19" s="19" t="s">
        <v>92</v>
      </c>
      <c r="S19" s="20" t="s">
        <v>105</v>
      </c>
      <c r="T19" s="21" t="s">
        <v>5</v>
      </c>
      <c r="U19" s="21" t="s">
        <v>104</v>
      </c>
    </row>
    <row r="20" spans="1:21" s="2" customFormat="1" ht="77" customHeight="1" x14ac:dyDescent="0.2">
      <c r="A20" s="16" t="s">
        <v>46</v>
      </c>
      <c r="B20" s="17" t="s">
        <v>47</v>
      </c>
      <c r="C20" s="18" t="s">
        <v>4</v>
      </c>
      <c r="D20" s="18" t="s">
        <v>9</v>
      </c>
      <c r="E20" s="32" t="s">
        <v>88</v>
      </c>
      <c r="F20" s="30" t="s">
        <v>4</v>
      </c>
      <c r="G20" s="18" t="s">
        <v>4</v>
      </c>
      <c r="H20" s="18" t="s">
        <v>4</v>
      </c>
      <c r="I20" s="18" t="s">
        <v>4</v>
      </c>
      <c r="J20" s="18" t="s">
        <v>4</v>
      </c>
      <c r="K20" s="32" t="s">
        <v>88</v>
      </c>
      <c r="L20" s="30" t="s">
        <v>4</v>
      </c>
      <c r="M20" s="18" t="s">
        <v>4</v>
      </c>
      <c r="N20" s="18" t="s">
        <v>4</v>
      </c>
      <c r="O20" s="18" t="s">
        <v>4</v>
      </c>
      <c r="P20" s="32" t="s">
        <v>88</v>
      </c>
      <c r="Q20" s="37" t="s">
        <v>117</v>
      </c>
      <c r="R20" s="19" t="s">
        <v>89</v>
      </c>
      <c r="S20" s="20" t="s">
        <v>125</v>
      </c>
      <c r="T20" s="21" t="s">
        <v>4</v>
      </c>
      <c r="U20" s="21" t="s">
        <v>4</v>
      </c>
    </row>
    <row r="21" spans="1:21" s="2" customFormat="1" ht="64" x14ac:dyDescent="0.2">
      <c r="A21" s="16" t="s">
        <v>7</v>
      </c>
      <c r="B21" s="17" t="s">
        <v>8</v>
      </c>
      <c r="C21" s="18" t="s">
        <v>9</v>
      </c>
      <c r="D21" s="18" t="s">
        <v>9</v>
      </c>
      <c r="E21" s="32" t="s">
        <v>90</v>
      </c>
      <c r="F21" s="30" t="s">
        <v>4</v>
      </c>
      <c r="G21" s="18" t="s">
        <v>4</v>
      </c>
      <c r="H21" s="18" t="s">
        <v>4</v>
      </c>
      <c r="I21" s="18" t="s">
        <v>6</v>
      </c>
      <c r="J21" s="18" t="s">
        <v>4</v>
      </c>
      <c r="K21" s="32" t="s">
        <v>90</v>
      </c>
      <c r="L21" s="30" t="s">
        <v>4</v>
      </c>
      <c r="M21" s="18" t="s">
        <v>4</v>
      </c>
      <c r="N21" s="18" t="s">
        <v>4</v>
      </c>
      <c r="O21" s="18" t="s">
        <v>9</v>
      </c>
      <c r="P21" s="32" t="s">
        <v>90</v>
      </c>
      <c r="Q21" s="37" t="s">
        <v>116</v>
      </c>
      <c r="R21" s="19" t="s">
        <v>92</v>
      </c>
      <c r="S21" s="20" t="s">
        <v>126</v>
      </c>
      <c r="T21" s="21" t="s">
        <v>5</v>
      </c>
      <c r="U21" s="21" t="s">
        <v>104</v>
      </c>
    </row>
    <row r="22" spans="1:21" s="2" customFormat="1" ht="80" x14ac:dyDescent="0.2">
      <c r="A22" s="16" t="s">
        <v>34</v>
      </c>
      <c r="B22" s="17" t="s">
        <v>35</v>
      </c>
      <c r="C22" s="18" t="s">
        <v>4</v>
      </c>
      <c r="D22" s="18" t="s">
        <v>4</v>
      </c>
      <c r="E22" s="32" t="s">
        <v>88</v>
      </c>
      <c r="F22" s="30" t="s">
        <v>4</v>
      </c>
      <c r="G22" s="18" t="s">
        <v>4</v>
      </c>
      <c r="H22" s="18" t="s">
        <v>4</v>
      </c>
      <c r="I22" s="18" t="s">
        <v>6</v>
      </c>
      <c r="J22" s="18" t="s">
        <v>4</v>
      </c>
      <c r="K22" s="32" t="s">
        <v>90</v>
      </c>
      <c r="L22" s="30" t="s">
        <v>4</v>
      </c>
      <c r="M22" s="18" t="s">
        <v>4</v>
      </c>
      <c r="N22" s="18" t="s">
        <v>4</v>
      </c>
      <c r="O22" s="18" t="s">
        <v>4</v>
      </c>
      <c r="P22" s="32" t="s">
        <v>90</v>
      </c>
      <c r="Q22" s="37" t="s">
        <v>118</v>
      </c>
      <c r="R22" s="19" t="s">
        <v>91</v>
      </c>
      <c r="S22" s="20" t="s">
        <v>130</v>
      </c>
      <c r="T22" s="21" t="s">
        <v>4</v>
      </c>
      <c r="U22" s="21" t="s">
        <v>104</v>
      </c>
    </row>
    <row r="23" spans="1:21" s="2" customFormat="1" ht="32" x14ac:dyDescent="0.2">
      <c r="A23" s="16" t="s">
        <v>48</v>
      </c>
      <c r="B23" s="17" t="s">
        <v>49</v>
      </c>
      <c r="C23" s="18" t="s">
        <v>4</v>
      </c>
      <c r="D23" s="18" t="s">
        <v>4</v>
      </c>
      <c r="E23" s="32" t="s">
        <v>88</v>
      </c>
      <c r="F23" s="30" t="s">
        <v>4</v>
      </c>
      <c r="G23" s="18" t="s">
        <v>5</v>
      </c>
      <c r="H23" s="18" t="s">
        <v>103</v>
      </c>
      <c r="I23" s="18" t="s">
        <v>103</v>
      </c>
      <c r="J23" s="18" t="s">
        <v>103</v>
      </c>
      <c r="K23" s="32" t="s">
        <v>108</v>
      </c>
      <c r="L23" s="30" t="s">
        <v>103</v>
      </c>
      <c r="M23" s="18" t="s">
        <v>103</v>
      </c>
      <c r="N23" s="18" t="s">
        <v>103</v>
      </c>
      <c r="O23" s="18" t="s">
        <v>103</v>
      </c>
      <c r="P23" s="32" t="s">
        <v>102</v>
      </c>
      <c r="Q23" s="37" t="s">
        <v>104</v>
      </c>
      <c r="R23" s="19" t="s">
        <v>92</v>
      </c>
      <c r="S23" s="20" t="s">
        <v>105</v>
      </c>
      <c r="T23" s="21" t="s">
        <v>5</v>
      </c>
      <c r="U23" s="21" t="s">
        <v>104</v>
      </c>
    </row>
    <row r="24" spans="1:21" s="2" customFormat="1" ht="32" x14ac:dyDescent="0.2">
      <c r="A24" s="16" t="s">
        <v>50</v>
      </c>
      <c r="B24" s="17" t="s">
        <v>51</v>
      </c>
      <c r="C24" s="18" t="s">
        <v>4</v>
      </c>
      <c r="D24" s="18" t="s">
        <v>4</v>
      </c>
      <c r="E24" s="32" t="s">
        <v>88</v>
      </c>
      <c r="F24" s="30" t="s">
        <v>4</v>
      </c>
      <c r="G24" s="18" t="s">
        <v>4</v>
      </c>
      <c r="H24" s="18" t="s">
        <v>4</v>
      </c>
      <c r="I24" s="18" t="s">
        <v>6</v>
      </c>
      <c r="J24" s="18" t="s">
        <v>4</v>
      </c>
      <c r="K24" s="32" t="s">
        <v>90</v>
      </c>
      <c r="L24" s="30" t="s">
        <v>5</v>
      </c>
      <c r="M24" s="18" t="s">
        <v>103</v>
      </c>
      <c r="N24" s="18" t="s">
        <v>103</v>
      </c>
      <c r="O24" s="18" t="s">
        <v>103</v>
      </c>
      <c r="P24" s="32" t="s">
        <v>108</v>
      </c>
      <c r="Q24" s="37" t="s">
        <v>104</v>
      </c>
      <c r="R24" s="19" t="s">
        <v>92</v>
      </c>
      <c r="S24" s="22" t="s">
        <v>172</v>
      </c>
      <c r="T24" s="21" t="s">
        <v>5</v>
      </c>
      <c r="U24" s="21" t="s">
        <v>104</v>
      </c>
    </row>
    <row r="25" spans="1:21" s="2" customFormat="1" ht="32" x14ac:dyDescent="0.2">
      <c r="A25" s="16" t="s">
        <v>10</v>
      </c>
      <c r="B25" s="17" t="s">
        <v>11</v>
      </c>
      <c r="C25" s="18" t="s">
        <v>4</v>
      </c>
      <c r="D25" s="18" t="s">
        <v>4</v>
      </c>
      <c r="E25" s="32" t="s">
        <v>88</v>
      </c>
      <c r="F25" s="30" t="s">
        <v>5</v>
      </c>
      <c r="G25" s="18" t="s">
        <v>103</v>
      </c>
      <c r="H25" s="18" t="s">
        <v>103</v>
      </c>
      <c r="I25" s="18" t="s">
        <v>103</v>
      </c>
      <c r="J25" s="18" t="s">
        <v>103</v>
      </c>
      <c r="K25" s="32" t="s">
        <v>108</v>
      </c>
      <c r="L25" s="30" t="s">
        <v>103</v>
      </c>
      <c r="M25" s="18" t="s">
        <v>103</v>
      </c>
      <c r="N25" s="18" t="s">
        <v>103</v>
      </c>
      <c r="O25" s="18" t="s">
        <v>103</v>
      </c>
      <c r="P25" s="32" t="s">
        <v>102</v>
      </c>
      <c r="Q25" s="37" t="s">
        <v>104</v>
      </c>
      <c r="R25" s="19" t="s">
        <v>92</v>
      </c>
      <c r="S25" s="20" t="s">
        <v>106</v>
      </c>
      <c r="T25" s="21" t="s">
        <v>5</v>
      </c>
      <c r="U25" s="21" t="s">
        <v>104</v>
      </c>
    </row>
    <row r="26" spans="1:21" s="2" customFormat="1" ht="32" x14ac:dyDescent="0.2">
      <c r="A26" s="16" t="s">
        <v>52</v>
      </c>
      <c r="B26" s="17" t="s">
        <v>53</v>
      </c>
      <c r="C26" s="18" t="s">
        <v>4</v>
      </c>
      <c r="D26" s="18" t="s">
        <v>4</v>
      </c>
      <c r="E26" s="32" t="s">
        <v>88</v>
      </c>
      <c r="F26" s="30" t="s">
        <v>4</v>
      </c>
      <c r="G26" s="18" t="s">
        <v>5</v>
      </c>
      <c r="H26" s="18" t="s">
        <v>103</v>
      </c>
      <c r="I26" s="18" t="s">
        <v>103</v>
      </c>
      <c r="J26" s="18" t="s">
        <v>103</v>
      </c>
      <c r="K26" s="32" t="s">
        <v>108</v>
      </c>
      <c r="L26" s="30" t="s">
        <v>103</v>
      </c>
      <c r="M26" s="18" t="s">
        <v>103</v>
      </c>
      <c r="N26" s="18" t="s">
        <v>103</v>
      </c>
      <c r="O26" s="18" t="s">
        <v>103</v>
      </c>
      <c r="P26" s="32" t="s">
        <v>102</v>
      </c>
      <c r="Q26" s="37" t="s">
        <v>104</v>
      </c>
      <c r="R26" s="19" t="s">
        <v>92</v>
      </c>
      <c r="S26" s="20" t="s">
        <v>105</v>
      </c>
      <c r="T26" s="21" t="s">
        <v>5</v>
      </c>
      <c r="U26" s="21" t="s">
        <v>104</v>
      </c>
    </row>
    <row r="27" spans="1:21" s="2" customFormat="1" ht="32" x14ac:dyDescent="0.2">
      <c r="A27" s="16" t="s">
        <v>66</v>
      </c>
      <c r="B27" s="17" t="s">
        <v>67</v>
      </c>
      <c r="C27" s="18" t="s">
        <v>5</v>
      </c>
      <c r="D27" s="18" t="s">
        <v>5</v>
      </c>
      <c r="E27" s="32" t="s">
        <v>108</v>
      </c>
      <c r="F27" s="30" t="s">
        <v>103</v>
      </c>
      <c r="G27" s="18" t="s">
        <v>103</v>
      </c>
      <c r="H27" s="18" t="s">
        <v>103</v>
      </c>
      <c r="I27" s="18" t="s">
        <v>103</v>
      </c>
      <c r="J27" s="18" t="s">
        <v>103</v>
      </c>
      <c r="K27" s="35" t="s">
        <v>102</v>
      </c>
      <c r="L27" s="30" t="s">
        <v>103</v>
      </c>
      <c r="M27" s="18" t="s">
        <v>103</v>
      </c>
      <c r="N27" s="18" t="s">
        <v>103</v>
      </c>
      <c r="O27" s="18" t="s">
        <v>103</v>
      </c>
      <c r="P27" s="32" t="s">
        <v>102</v>
      </c>
      <c r="Q27" s="37" t="s">
        <v>104</v>
      </c>
      <c r="R27" s="19" t="s">
        <v>92</v>
      </c>
      <c r="S27" s="20" t="s">
        <v>107</v>
      </c>
      <c r="T27" s="21" t="s">
        <v>5</v>
      </c>
      <c r="U27" s="21" t="s">
        <v>104</v>
      </c>
    </row>
    <row r="28" spans="1:21" s="2" customFormat="1" ht="32" x14ac:dyDescent="0.2">
      <c r="A28" s="16" t="s">
        <v>56</v>
      </c>
      <c r="B28" s="17" t="s">
        <v>57</v>
      </c>
      <c r="C28" s="18" t="s">
        <v>5</v>
      </c>
      <c r="D28" s="18" t="s">
        <v>5</v>
      </c>
      <c r="E28" s="32" t="s">
        <v>108</v>
      </c>
      <c r="F28" s="30" t="s">
        <v>103</v>
      </c>
      <c r="G28" s="18" t="s">
        <v>103</v>
      </c>
      <c r="H28" s="18" t="s">
        <v>103</v>
      </c>
      <c r="I28" s="18" t="s">
        <v>103</v>
      </c>
      <c r="J28" s="18" t="s">
        <v>103</v>
      </c>
      <c r="K28" s="35" t="s">
        <v>102</v>
      </c>
      <c r="L28" s="30" t="s">
        <v>103</v>
      </c>
      <c r="M28" s="18" t="s">
        <v>103</v>
      </c>
      <c r="N28" s="18" t="s">
        <v>103</v>
      </c>
      <c r="O28" s="18" t="s">
        <v>103</v>
      </c>
      <c r="P28" s="32" t="s">
        <v>102</v>
      </c>
      <c r="Q28" s="37" t="s">
        <v>104</v>
      </c>
      <c r="R28" s="19" t="s">
        <v>92</v>
      </c>
      <c r="S28" s="20" t="s">
        <v>107</v>
      </c>
      <c r="T28" s="21" t="s">
        <v>5</v>
      </c>
      <c r="U28" s="21" t="s">
        <v>104</v>
      </c>
    </row>
    <row r="29" spans="1:21" s="2" customFormat="1" ht="32" x14ac:dyDescent="0.2">
      <c r="A29" s="16" t="s">
        <v>58</v>
      </c>
      <c r="B29" s="17" t="s">
        <v>59</v>
      </c>
      <c r="C29" s="18" t="s">
        <v>5</v>
      </c>
      <c r="D29" s="18" t="s">
        <v>5</v>
      </c>
      <c r="E29" s="32" t="s">
        <v>108</v>
      </c>
      <c r="F29" s="30" t="s">
        <v>103</v>
      </c>
      <c r="G29" s="18" t="s">
        <v>103</v>
      </c>
      <c r="H29" s="18" t="s">
        <v>103</v>
      </c>
      <c r="I29" s="18" t="s">
        <v>103</v>
      </c>
      <c r="J29" s="18" t="s">
        <v>103</v>
      </c>
      <c r="K29" s="35" t="s">
        <v>102</v>
      </c>
      <c r="L29" s="30" t="s">
        <v>103</v>
      </c>
      <c r="M29" s="18" t="s">
        <v>103</v>
      </c>
      <c r="N29" s="18" t="s">
        <v>103</v>
      </c>
      <c r="O29" s="18" t="s">
        <v>103</v>
      </c>
      <c r="P29" s="32" t="s">
        <v>102</v>
      </c>
      <c r="Q29" s="37" t="s">
        <v>104</v>
      </c>
      <c r="R29" s="19" t="s">
        <v>92</v>
      </c>
      <c r="S29" s="20" t="s">
        <v>107</v>
      </c>
      <c r="T29" s="21" t="s">
        <v>5</v>
      </c>
      <c r="U29" s="21" t="s">
        <v>104</v>
      </c>
    </row>
    <row r="30" spans="1:21" s="2" customFormat="1" ht="64" x14ac:dyDescent="0.2">
      <c r="A30" s="16" t="s">
        <v>24</v>
      </c>
      <c r="B30" s="17" t="s">
        <v>25</v>
      </c>
      <c r="C30" s="18" t="s">
        <v>4</v>
      </c>
      <c r="D30" s="18" t="s">
        <v>4</v>
      </c>
      <c r="E30" s="32" t="s">
        <v>88</v>
      </c>
      <c r="F30" s="30" t="s">
        <v>4</v>
      </c>
      <c r="G30" s="18" t="s">
        <v>4</v>
      </c>
      <c r="H30" s="18" t="s">
        <v>4</v>
      </c>
      <c r="I30" s="18" t="s">
        <v>4</v>
      </c>
      <c r="J30" s="18" t="s">
        <v>4</v>
      </c>
      <c r="K30" s="32" t="s">
        <v>88</v>
      </c>
      <c r="L30" s="30" t="s">
        <v>4</v>
      </c>
      <c r="M30" s="18" t="s">
        <v>4</v>
      </c>
      <c r="N30" s="18" t="s">
        <v>4</v>
      </c>
      <c r="O30" s="18" t="s">
        <v>4</v>
      </c>
      <c r="P30" s="32" t="s">
        <v>88</v>
      </c>
      <c r="Q30" s="37" t="s">
        <v>119</v>
      </c>
      <c r="R30" s="19" t="s">
        <v>89</v>
      </c>
      <c r="S30" s="20" t="s">
        <v>127</v>
      </c>
      <c r="T30" s="21" t="s">
        <v>4</v>
      </c>
      <c r="U30" s="21" t="s">
        <v>4</v>
      </c>
    </row>
    <row r="31" spans="1:21" s="2" customFormat="1" ht="32" x14ac:dyDescent="0.2">
      <c r="A31" s="16" t="s">
        <v>64</v>
      </c>
      <c r="B31" s="17" t="s">
        <v>65</v>
      </c>
      <c r="C31" s="18" t="s">
        <v>5</v>
      </c>
      <c r="D31" s="18" t="s">
        <v>5</v>
      </c>
      <c r="E31" s="32" t="s">
        <v>108</v>
      </c>
      <c r="F31" s="30" t="s">
        <v>103</v>
      </c>
      <c r="G31" s="18" t="s">
        <v>103</v>
      </c>
      <c r="H31" s="18" t="s">
        <v>103</v>
      </c>
      <c r="I31" s="18" t="s">
        <v>103</v>
      </c>
      <c r="J31" s="18" t="s">
        <v>103</v>
      </c>
      <c r="K31" s="35" t="s">
        <v>102</v>
      </c>
      <c r="L31" s="30" t="s">
        <v>103</v>
      </c>
      <c r="M31" s="18" t="s">
        <v>103</v>
      </c>
      <c r="N31" s="18" t="s">
        <v>103</v>
      </c>
      <c r="O31" s="18" t="s">
        <v>103</v>
      </c>
      <c r="P31" s="35" t="s">
        <v>102</v>
      </c>
      <c r="Q31" s="37" t="s">
        <v>104</v>
      </c>
      <c r="R31" s="19" t="s">
        <v>92</v>
      </c>
      <c r="S31" s="20" t="s">
        <v>107</v>
      </c>
      <c r="T31" s="21" t="s">
        <v>5</v>
      </c>
      <c r="U31" s="21" t="s">
        <v>104</v>
      </c>
    </row>
    <row r="32" spans="1:21" s="2" customFormat="1" ht="32" x14ac:dyDescent="0.2">
      <c r="A32" s="16" t="s">
        <v>36</v>
      </c>
      <c r="B32" s="17" t="s">
        <v>37</v>
      </c>
      <c r="C32" s="18" t="s">
        <v>9</v>
      </c>
      <c r="D32" s="18" t="s">
        <v>4</v>
      </c>
      <c r="E32" s="32" t="s">
        <v>88</v>
      </c>
      <c r="F32" s="30" t="s">
        <v>4</v>
      </c>
      <c r="G32" s="18" t="s">
        <v>5</v>
      </c>
      <c r="H32" s="18" t="s">
        <v>103</v>
      </c>
      <c r="I32" s="18" t="s">
        <v>103</v>
      </c>
      <c r="J32" s="18" t="s">
        <v>103</v>
      </c>
      <c r="K32" s="32" t="s">
        <v>108</v>
      </c>
      <c r="L32" s="30" t="s">
        <v>103</v>
      </c>
      <c r="M32" s="18" t="s">
        <v>103</v>
      </c>
      <c r="N32" s="18" t="s">
        <v>103</v>
      </c>
      <c r="O32" s="18" t="s">
        <v>103</v>
      </c>
      <c r="P32" s="35" t="s">
        <v>102</v>
      </c>
      <c r="Q32" s="37" t="s">
        <v>104</v>
      </c>
      <c r="R32" s="19" t="s">
        <v>92</v>
      </c>
      <c r="S32" s="20" t="s">
        <v>131</v>
      </c>
      <c r="T32" s="21" t="s">
        <v>5</v>
      </c>
      <c r="U32" s="21" t="s">
        <v>104</v>
      </c>
    </row>
    <row r="33" spans="1:21" s="2" customFormat="1" ht="80" x14ac:dyDescent="0.2">
      <c r="A33" s="16" t="s">
        <v>60</v>
      </c>
      <c r="B33" s="17" t="s">
        <v>61</v>
      </c>
      <c r="C33" s="18" t="s">
        <v>4</v>
      </c>
      <c r="D33" s="18" t="s">
        <v>4</v>
      </c>
      <c r="E33" s="32" t="s">
        <v>88</v>
      </c>
      <c r="F33" s="30" t="s">
        <v>4</v>
      </c>
      <c r="G33" s="18" t="s">
        <v>4</v>
      </c>
      <c r="H33" s="18" t="s">
        <v>4</v>
      </c>
      <c r="I33" s="18" t="s">
        <v>6</v>
      </c>
      <c r="J33" s="18" t="s">
        <v>4</v>
      </c>
      <c r="K33" s="32" t="s">
        <v>90</v>
      </c>
      <c r="L33" s="30" t="s">
        <v>4</v>
      </c>
      <c r="M33" s="18" t="s">
        <v>4</v>
      </c>
      <c r="N33" s="18" t="s">
        <v>4</v>
      </c>
      <c r="O33" s="18" t="s">
        <v>4</v>
      </c>
      <c r="P33" s="32" t="s">
        <v>90</v>
      </c>
      <c r="Q33" s="37" t="s">
        <v>110</v>
      </c>
      <c r="R33" s="19" t="s">
        <v>92</v>
      </c>
      <c r="S33" s="20" t="s">
        <v>128</v>
      </c>
      <c r="T33" s="21" t="s">
        <v>5</v>
      </c>
      <c r="U33" s="21" t="s">
        <v>104</v>
      </c>
    </row>
    <row r="34" spans="1:21" s="2" customFormat="1" ht="32" x14ac:dyDescent="0.2">
      <c r="A34" s="16" t="s">
        <v>62</v>
      </c>
      <c r="B34" s="17" t="s">
        <v>63</v>
      </c>
      <c r="C34" s="18" t="s">
        <v>5</v>
      </c>
      <c r="D34" s="18" t="s">
        <v>5</v>
      </c>
      <c r="E34" s="32" t="s">
        <v>108</v>
      </c>
      <c r="F34" s="30" t="s">
        <v>103</v>
      </c>
      <c r="G34" s="18" t="s">
        <v>103</v>
      </c>
      <c r="H34" s="18" t="s">
        <v>103</v>
      </c>
      <c r="I34" s="18" t="s">
        <v>103</v>
      </c>
      <c r="J34" s="18" t="s">
        <v>103</v>
      </c>
      <c r="K34" s="35" t="s">
        <v>102</v>
      </c>
      <c r="L34" s="30" t="s">
        <v>103</v>
      </c>
      <c r="M34" s="18" t="s">
        <v>103</v>
      </c>
      <c r="N34" s="18" t="s">
        <v>103</v>
      </c>
      <c r="O34" s="18" t="s">
        <v>103</v>
      </c>
      <c r="P34" s="35" t="s">
        <v>102</v>
      </c>
      <c r="Q34" s="37" t="s">
        <v>104</v>
      </c>
      <c r="R34" s="19" t="s">
        <v>92</v>
      </c>
      <c r="S34" s="20" t="s">
        <v>107</v>
      </c>
      <c r="T34" s="21" t="s">
        <v>5</v>
      </c>
      <c r="U34" s="21" t="s">
        <v>104</v>
      </c>
    </row>
    <row r="35" spans="1:21" ht="32" x14ac:dyDescent="0.2">
      <c r="A35" s="16" t="s">
        <v>71</v>
      </c>
      <c r="B35" s="23" t="s">
        <v>73</v>
      </c>
      <c r="C35" s="18" t="s">
        <v>4</v>
      </c>
      <c r="D35" s="18" t="s">
        <v>4</v>
      </c>
      <c r="E35" s="32" t="s">
        <v>88</v>
      </c>
      <c r="F35" s="30" t="s">
        <v>4</v>
      </c>
      <c r="G35" s="18" t="s">
        <v>4</v>
      </c>
      <c r="H35" s="18" t="s">
        <v>4</v>
      </c>
      <c r="I35" s="18" t="s">
        <v>6</v>
      </c>
      <c r="J35" s="18" t="s">
        <v>4</v>
      </c>
      <c r="K35" s="32" t="s">
        <v>90</v>
      </c>
      <c r="L35" s="30" t="s">
        <v>5</v>
      </c>
      <c r="M35" s="18" t="s">
        <v>103</v>
      </c>
      <c r="N35" s="18" t="s">
        <v>103</v>
      </c>
      <c r="O35" s="18" t="s">
        <v>103</v>
      </c>
      <c r="P35" s="32" t="s">
        <v>108</v>
      </c>
      <c r="Q35" s="37" t="s">
        <v>104</v>
      </c>
      <c r="R35" s="19" t="s">
        <v>92</v>
      </c>
      <c r="S35" s="22" t="s">
        <v>172</v>
      </c>
      <c r="T35" s="21" t="s">
        <v>5</v>
      </c>
      <c r="U35" s="21" t="s">
        <v>104</v>
      </c>
    </row>
    <row r="36" spans="1:21" ht="64" x14ac:dyDescent="0.2">
      <c r="A36" s="24" t="s">
        <v>72</v>
      </c>
      <c r="B36" s="25" t="s">
        <v>74</v>
      </c>
      <c r="C36" s="26" t="s">
        <v>5</v>
      </c>
      <c r="D36" s="26" t="s">
        <v>5</v>
      </c>
      <c r="E36" s="34" t="s">
        <v>108</v>
      </c>
      <c r="F36" s="33" t="s">
        <v>103</v>
      </c>
      <c r="G36" s="26" t="s">
        <v>103</v>
      </c>
      <c r="H36" s="26" t="s">
        <v>103</v>
      </c>
      <c r="I36" s="26" t="s">
        <v>103</v>
      </c>
      <c r="J36" s="26" t="s">
        <v>103</v>
      </c>
      <c r="K36" s="36" t="s">
        <v>102</v>
      </c>
      <c r="L36" s="33" t="s">
        <v>103</v>
      </c>
      <c r="M36" s="26" t="s">
        <v>103</v>
      </c>
      <c r="N36" s="26" t="s">
        <v>103</v>
      </c>
      <c r="O36" s="26" t="s">
        <v>103</v>
      </c>
      <c r="P36" s="36" t="s">
        <v>102</v>
      </c>
      <c r="Q36" s="38" t="s">
        <v>104</v>
      </c>
      <c r="R36" s="27" t="s">
        <v>92</v>
      </c>
      <c r="S36" s="28" t="s">
        <v>107</v>
      </c>
      <c r="T36" s="29" t="s">
        <v>5</v>
      </c>
      <c r="U36" s="21" t="s">
        <v>104</v>
      </c>
    </row>
    <row r="39" spans="1:21" ht="16" thickBot="1" x14ac:dyDescent="0.25">
      <c r="A39" s="6" t="s">
        <v>68</v>
      </c>
      <c r="C39" s="5">
        <f t="shared" ref="C39:N39" si="0">COUNTIF(C4:C36, "Yes")</f>
        <v>22</v>
      </c>
      <c r="D39" s="5">
        <f>COUNTIF(D4:D36, "Yes")</f>
        <v>24</v>
      </c>
      <c r="E39" s="5">
        <f>COUNTIF(E4:E36, "Eligible")</f>
        <v>25</v>
      </c>
      <c r="F39" s="5">
        <f t="shared" si="0"/>
        <v>25</v>
      </c>
      <c r="G39" s="5">
        <f t="shared" si="0"/>
        <v>15</v>
      </c>
      <c r="H39" s="5">
        <f t="shared" si="0"/>
        <v>15</v>
      </c>
      <c r="I39" s="5">
        <f t="shared" si="0"/>
        <v>7</v>
      </c>
      <c r="J39" s="5">
        <f t="shared" si="0"/>
        <v>14</v>
      </c>
      <c r="K39" s="5">
        <f>COUNTIF(K4:K36, "Eligible")</f>
        <v>7</v>
      </c>
      <c r="L39" s="5">
        <f t="shared" si="0"/>
        <v>11</v>
      </c>
      <c r="M39" s="5">
        <f t="shared" si="0"/>
        <v>11</v>
      </c>
      <c r="N39" s="5">
        <f t="shared" si="0"/>
        <v>10</v>
      </c>
      <c r="O39" s="5">
        <f t="shared" ref="O39" si="1">COUNTIF(O4:O36, "Yes")</f>
        <v>9</v>
      </c>
      <c r="P39" s="5">
        <f>COUNTIF(P4:P36, "Eligible")</f>
        <v>5</v>
      </c>
      <c r="Q39"/>
      <c r="R39" s="5">
        <f>COUNTIF(R4:R36, "Selected")</f>
        <v>5</v>
      </c>
    </row>
    <row r="40" spans="1:21" ht="16" thickTop="1" x14ac:dyDescent="0.2">
      <c r="A40" s="3" t="s">
        <v>133</v>
      </c>
    </row>
  </sheetData>
  <phoneticPr fontId="10" type="noConversion"/>
  <conditionalFormatting sqref="C4:D36 F4:J36 L4:O36">
    <cfRule type="cellIs" dxfId="12" priority="10" operator="equal">
      <formula>"Yes"</formula>
    </cfRule>
    <cfRule type="cellIs" dxfId="11" priority="11" operator="equal">
      <formula>"Partial"</formula>
    </cfRule>
    <cfRule type="cellIs" dxfId="10" priority="23" operator="equal">
      <formula>"Not Stated"</formula>
    </cfRule>
    <cfRule type="cellIs" dxfId="9" priority="24" operator="equal">
      <formula>"Not Verified"</formula>
    </cfRule>
    <cfRule type="cellIs" priority="25" operator="equal">
      <formula>"Not Assessed"</formula>
    </cfRule>
    <cfRule type="cellIs" dxfId="8" priority="27" operator="equal">
      <formula>"No"</formula>
    </cfRule>
  </conditionalFormatting>
  <conditionalFormatting sqref="E4:E36 K4:K36 P4:P36">
    <cfRule type="cellIs" dxfId="7" priority="6" operator="equal">
      <formula>"Excluded at previous stage"</formula>
    </cfRule>
    <cfRule type="cellIs" dxfId="6" priority="7" operator="equal">
      <formula>"Not eligible"</formula>
    </cfRule>
    <cfRule type="cellIs" dxfId="5" priority="8" operator="equal">
      <formula>"Eligible with limitations"</formula>
    </cfRule>
    <cfRule type="cellIs" priority="9" operator="equal">
      <formula>"Eligible"</formula>
    </cfRule>
  </conditionalFormatting>
  <conditionalFormatting sqref="R4:R36">
    <cfRule type="cellIs" dxfId="4" priority="3" operator="equal">
      <formula>"Reserve"</formula>
    </cfRule>
    <cfRule type="cellIs" dxfId="3" priority="4" operator="equal">
      <formula>"Selected"</formula>
    </cfRule>
    <cfRule type="cellIs" dxfId="2" priority="5" operator="equal">
      <formula>"Excluded"</formula>
    </cfRule>
  </conditionalFormatting>
  <conditionalFormatting sqref="T4:U36">
    <cfRule type="cellIs" dxfId="1" priority="1" operator="equal">
      <formula>"Yes"</formula>
    </cfRule>
    <cfRule type="cellIs" dxfId="0" priority="2" operator="equal">
      <formula>"No"</formula>
    </cfRule>
  </conditionalFormatting>
  <hyperlinks>
    <hyperlink ref="B4" r:id="rId1" xr:uid="{98B8DAA7-9034-D449-9CAD-6B0463BFCFD4}"/>
    <hyperlink ref="B21" r:id="rId2" xr:uid="{4EC1C520-3706-8149-A4A0-5329D10F424B}"/>
    <hyperlink ref="B25" r:id="rId3" xr:uid="{A1644115-0586-754F-8DEC-D8EA79BE9751}"/>
    <hyperlink ref="B15" r:id="rId4" xr:uid="{D587BCF2-B15F-6C45-B3D0-BF55CB188D2D}"/>
    <hyperlink ref="B7" r:id="rId5" xr:uid="{75F11C48-E6D2-364B-A2C5-71DBA950DA93}"/>
    <hyperlink ref="B5" r:id="rId6" xr:uid="{F58A8ABB-9AED-D945-A8FA-E73F77AF4D43}"/>
    <hyperlink ref="B6" r:id="rId7" xr:uid="{BBDFE0C1-D907-4741-B724-F1F8BBDB67EB}"/>
    <hyperlink ref="B9" r:id="rId8" xr:uid="{CCAAFF1A-83DB-374A-9376-2F6016983D8D}"/>
    <hyperlink ref="B17" r:id="rId9" xr:uid="{76CA9EFE-0B09-CD44-95B7-F696CCB2AA8E}"/>
    <hyperlink ref="B30" r:id="rId10" xr:uid="{3A1F38DC-E83C-2447-9785-9F71AD72262B}"/>
    <hyperlink ref="B10" r:id="rId11" xr:uid="{2B5F8A98-1DEC-CF43-A62D-04550FACC771}"/>
    <hyperlink ref="B11" r:id="rId12" xr:uid="{AD082320-CD03-E24E-8E4E-C99708BD01DD}"/>
    <hyperlink ref="B12" r:id="rId13" xr:uid="{3496C141-2EA7-AA4B-AE95-94BAEA894A23}"/>
    <hyperlink ref="B13" r:id="rId14" xr:uid="{C738FA5B-ED51-1545-95E8-AC1A1C459B31}"/>
    <hyperlink ref="B22" r:id="rId15" xr:uid="{1075488C-BFAC-F14B-9622-AADF94E00B8A}"/>
    <hyperlink ref="B32" r:id="rId16" xr:uid="{7503B225-E48E-3F41-A186-06AE1849C0CF}"/>
    <hyperlink ref="B8" r:id="rId17" xr:uid="{0023BA8F-67CE-494A-AFE1-717D74C54E93}"/>
    <hyperlink ref="B16" r:id="rId18" xr:uid="{7EB13038-01C4-E24F-9D1F-CCAE9A1557E6}"/>
    <hyperlink ref="B19" r:id="rId19" xr:uid="{5926E91D-9483-D044-9B9A-7DC7ED40D47E}"/>
    <hyperlink ref="B20" r:id="rId20" xr:uid="{850C08E7-0557-F94B-8747-964965467471}"/>
    <hyperlink ref="B23" r:id="rId21" xr:uid="{CB6CF410-4762-C54D-BCDC-CCB03C79F186}"/>
    <hyperlink ref="B24" r:id="rId22" xr:uid="{C0DDEBEC-6957-B34C-BBB4-0A09102F2B7D}"/>
    <hyperlink ref="B26" r:id="rId23" xr:uid="{9228AD36-0E99-9143-9E2B-27C9EE6182F1}"/>
    <hyperlink ref="B14" r:id="rId24" xr:uid="{1BFBE814-2AD2-7041-8163-5B471B8A578E}"/>
    <hyperlink ref="B33" r:id="rId25" xr:uid="{0B81C70B-1CBA-204C-9533-7FDE8F7D9BC4}"/>
    <hyperlink ref="B35" r:id="rId26" xr:uid="{5C517650-3298-8B4D-B0DE-1BA0A22642D1}"/>
    <hyperlink ref="B28" r:id="rId27" xr:uid="{A1B16C64-0C6D-DE43-9FF0-2E1A50EAB581}"/>
    <hyperlink ref="B18" r:id="rId28" xr:uid="{BDA48A37-EA51-194A-ABB7-DFA58D483F8E}"/>
    <hyperlink ref="B34" r:id="rId29" xr:uid="{FB9FB8CD-B731-5842-BFFA-6CCD2DCC3790}"/>
    <hyperlink ref="B31" r:id="rId30" xr:uid="{0A5B97D0-4CA7-8C40-95E8-89915DA658DD}"/>
    <hyperlink ref="B29" r:id="rId31" xr:uid="{75F1E0CA-59C0-8147-B998-BAC9E90AC66D}"/>
    <hyperlink ref="B27" r:id="rId32" xr:uid="{21C86F3B-DD9F-0341-9028-22F6F8D89637}"/>
  </hyperlinks>
  <pageMargins left="0.7" right="0.7" top="0.75" bottom="0.75" header="0.3" footer="0.3"/>
  <pageSetup paperSize="9" orientation="portrait" horizontalDpi="0" verticalDpi="0"/>
  <tableParts count="1">
    <tablePart r:id="rId3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AF8B21-4AA7-2140-B919-4775A24D7E01}">
          <x14:formula1>
            <xm:f>'Data Validation'!$A$2:$A$7</xm:f>
          </x14:formula1>
          <xm:sqref>C4:D36 F4:J36 L4:O36</xm:sqref>
        </x14:dataValidation>
        <x14:dataValidation type="list" allowBlank="1" showInputMessage="1" showErrorMessage="1" xr:uid="{DB8FE36C-D99D-5D42-9494-B51BE7C2C977}">
          <x14:formula1>
            <xm:f>'Data Validation'!$B$2:$B$5</xm:f>
          </x14:formula1>
          <xm:sqref>E4:E36 K4:K36 P4:P36</xm:sqref>
        </x14:dataValidation>
        <x14:dataValidation type="list" allowBlank="1" showInputMessage="1" showErrorMessage="1" xr:uid="{97F38DC5-1914-5841-9AAF-BD1548F5A141}">
          <x14:formula1>
            <xm:f>'Data Validation'!$C$2:$C$4</xm:f>
          </x14:formula1>
          <xm:sqref>R4:R36</xm:sqref>
        </x14:dataValidation>
        <x14:dataValidation type="list" allowBlank="1" showInputMessage="1" showErrorMessage="1" xr:uid="{E217D3B5-49B4-DA4E-B093-5EDD28427C97}">
          <x14:formula1>
            <xm:f>'Data Validation'!$D$2:$D$4</xm:f>
          </x14:formula1>
          <xm:sqref>T4:U36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1F29-BA28-2C47-A2EB-797283B315E5}">
  <sheetPr>
    <pageSetUpPr fitToPage="1"/>
  </sheetPr>
  <dimension ref="A1:E18"/>
  <sheetViews>
    <sheetView zoomScale="130" zoomScaleNormal="130" workbookViewId="0">
      <selection activeCell="I8" sqref="I8"/>
    </sheetView>
  </sheetViews>
  <sheetFormatPr baseColWidth="10" defaultRowHeight="15" x14ac:dyDescent="0.2"/>
  <cols>
    <col min="1" max="1" width="11.5" customWidth="1"/>
    <col min="2" max="2" width="17" customWidth="1"/>
    <col min="3" max="3" width="50.33203125" customWidth="1"/>
    <col min="4" max="4" width="31.83203125" customWidth="1"/>
    <col min="5" max="5" width="17.1640625" bestFit="1" customWidth="1"/>
  </cols>
  <sheetData>
    <row r="1" spans="1:5" ht="21" x14ac:dyDescent="0.2">
      <c r="A1" s="4" t="s">
        <v>173</v>
      </c>
    </row>
    <row r="2" spans="1:5" x14ac:dyDescent="0.2">
      <c r="A2" t="s">
        <v>75</v>
      </c>
    </row>
    <row r="4" spans="1:5" ht="25" customHeight="1" thickBot="1" x14ac:dyDescent="0.25">
      <c r="A4" s="52" t="s">
        <v>134</v>
      </c>
      <c r="B4" s="40" t="s">
        <v>135</v>
      </c>
      <c r="C4" s="41" t="s">
        <v>136</v>
      </c>
      <c r="D4" s="41" t="s">
        <v>137</v>
      </c>
      <c r="E4" s="42" t="s">
        <v>138</v>
      </c>
    </row>
    <row r="5" spans="1:5" ht="48" x14ac:dyDescent="0.2">
      <c r="A5" s="54" t="s">
        <v>149</v>
      </c>
      <c r="B5" s="49" t="s">
        <v>69</v>
      </c>
      <c r="C5" s="44" t="s">
        <v>155</v>
      </c>
      <c r="D5" s="44" t="s">
        <v>168</v>
      </c>
      <c r="E5" s="45" t="s">
        <v>84</v>
      </c>
    </row>
    <row r="6" spans="1:5" ht="33" thickBot="1" x14ac:dyDescent="0.25">
      <c r="A6" s="55"/>
      <c r="B6" s="50" t="s">
        <v>80</v>
      </c>
      <c r="C6" s="46" t="s">
        <v>156</v>
      </c>
      <c r="D6" s="46" t="s">
        <v>168</v>
      </c>
      <c r="E6" s="47" t="s">
        <v>84</v>
      </c>
    </row>
    <row r="7" spans="1:5" ht="32" x14ac:dyDescent="0.2">
      <c r="A7" s="54" t="s">
        <v>150</v>
      </c>
      <c r="B7" s="49" t="s">
        <v>76</v>
      </c>
      <c r="C7" s="44" t="s">
        <v>157</v>
      </c>
      <c r="D7" s="44" t="s">
        <v>169</v>
      </c>
      <c r="E7" s="45" t="s">
        <v>139</v>
      </c>
    </row>
    <row r="8" spans="1:5" ht="51" customHeight="1" x14ac:dyDescent="0.2">
      <c r="A8" s="56"/>
      <c r="B8" s="37" t="s">
        <v>140</v>
      </c>
      <c r="C8" s="22" t="s">
        <v>158</v>
      </c>
      <c r="D8" s="22" t="s">
        <v>170</v>
      </c>
      <c r="E8" s="39" t="s">
        <v>139</v>
      </c>
    </row>
    <row r="9" spans="1:5" ht="48" x14ac:dyDescent="0.2">
      <c r="A9" s="56"/>
      <c r="B9" s="37" t="s">
        <v>78</v>
      </c>
      <c r="C9" s="22" t="s">
        <v>159</v>
      </c>
      <c r="D9" s="22" t="s">
        <v>170</v>
      </c>
      <c r="E9" s="39" t="s">
        <v>139</v>
      </c>
    </row>
    <row r="10" spans="1:5" ht="48" x14ac:dyDescent="0.2">
      <c r="A10" s="56"/>
      <c r="B10" s="37" t="s">
        <v>141</v>
      </c>
      <c r="C10" s="22" t="s">
        <v>160</v>
      </c>
      <c r="D10" s="22" t="s">
        <v>171</v>
      </c>
      <c r="E10" s="39" t="s">
        <v>139</v>
      </c>
    </row>
    <row r="11" spans="1:5" ht="49" thickBot="1" x14ac:dyDescent="0.25">
      <c r="A11" s="55"/>
      <c r="B11" s="50" t="s">
        <v>79</v>
      </c>
      <c r="C11" s="46" t="s">
        <v>161</v>
      </c>
      <c r="D11" s="46" t="s">
        <v>171</v>
      </c>
      <c r="E11" s="47" t="s">
        <v>139</v>
      </c>
    </row>
    <row r="12" spans="1:5" ht="48" x14ac:dyDescent="0.2">
      <c r="A12" s="54" t="s">
        <v>151</v>
      </c>
      <c r="B12" s="49" t="s">
        <v>95</v>
      </c>
      <c r="C12" s="44" t="s">
        <v>174</v>
      </c>
      <c r="D12" s="44" t="s">
        <v>169</v>
      </c>
      <c r="E12" s="45" t="s">
        <v>142</v>
      </c>
    </row>
    <row r="13" spans="1:5" ht="32" x14ac:dyDescent="0.2">
      <c r="A13" s="56"/>
      <c r="B13" s="37" t="s">
        <v>143</v>
      </c>
      <c r="C13" s="22" t="s">
        <v>175</v>
      </c>
      <c r="D13" s="22" t="s">
        <v>169</v>
      </c>
      <c r="E13" s="39" t="s">
        <v>142</v>
      </c>
    </row>
    <row r="14" spans="1:5" ht="32" x14ac:dyDescent="0.2">
      <c r="A14" s="56"/>
      <c r="B14" s="37" t="s">
        <v>97</v>
      </c>
      <c r="C14" s="22" t="s">
        <v>176</v>
      </c>
      <c r="D14" s="22" t="s">
        <v>170</v>
      </c>
      <c r="E14" s="39" t="s">
        <v>142</v>
      </c>
    </row>
    <row r="15" spans="1:5" ht="49" thickBot="1" x14ac:dyDescent="0.25">
      <c r="A15" s="55"/>
      <c r="B15" s="50" t="s">
        <v>98</v>
      </c>
      <c r="C15" s="46" t="s">
        <v>162</v>
      </c>
      <c r="D15" s="46" t="s">
        <v>170</v>
      </c>
      <c r="E15" s="47" t="s">
        <v>142</v>
      </c>
    </row>
    <row r="16" spans="1:5" ht="49" thickBot="1" x14ac:dyDescent="0.25">
      <c r="A16" s="53" t="s">
        <v>152</v>
      </c>
      <c r="B16" s="51" t="s">
        <v>144</v>
      </c>
      <c r="C16" s="48" t="s">
        <v>163</v>
      </c>
      <c r="D16" s="48" t="s">
        <v>104</v>
      </c>
      <c r="E16" s="43" t="s">
        <v>145</v>
      </c>
    </row>
    <row r="17" spans="1:5" ht="49" thickBot="1" x14ac:dyDescent="0.25">
      <c r="A17" s="53" t="s">
        <v>153</v>
      </c>
      <c r="B17" s="51" t="s">
        <v>146</v>
      </c>
      <c r="C17" s="48" t="s">
        <v>164</v>
      </c>
      <c r="D17" s="48" t="s">
        <v>167</v>
      </c>
      <c r="E17" s="43" t="s">
        <v>82</v>
      </c>
    </row>
    <row r="18" spans="1:5" ht="49" thickBot="1" x14ac:dyDescent="0.25">
      <c r="A18" s="53" t="s">
        <v>154</v>
      </c>
      <c r="B18" s="51" t="s">
        <v>147</v>
      </c>
      <c r="C18" s="48" t="s">
        <v>165</v>
      </c>
      <c r="D18" s="48" t="s">
        <v>166</v>
      </c>
      <c r="E18" s="43" t="s">
        <v>148</v>
      </c>
    </row>
  </sheetData>
  <pageMargins left="0.7" right="0.7" top="0.75" bottom="0.75" header="0.3" footer="0.3"/>
  <pageSetup paperSize="9" scale="74" orientation="landscape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0624-58C5-B74A-998B-84AAB4B94184}">
  <dimension ref="A1:D7"/>
  <sheetViews>
    <sheetView zoomScale="160" zoomScaleNormal="160" workbookViewId="0">
      <selection activeCell="F5" sqref="F5"/>
    </sheetView>
  </sheetViews>
  <sheetFormatPr baseColWidth="10" defaultRowHeight="15" x14ac:dyDescent="0.2"/>
  <cols>
    <col min="1" max="16384" width="10.83203125" style="7"/>
  </cols>
  <sheetData>
    <row r="1" spans="1:4" ht="32" x14ac:dyDescent="0.2">
      <c r="A1" s="57" t="s">
        <v>70</v>
      </c>
      <c r="B1" s="58" t="s">
        <v>87</v>
      </c>
      <c r="C1" s="58" t="s">
        <v>85</v>
      </c>
      <c r="D1" s="58" t="s">
        <v>86</v>
      </c>
    </row>
    <row r="2" spans="1:4" ht="16" x14ac:dyDescent="0.2">
      <c r="A2" s="7" t="s">
        <v>4</v>
      </c>
      <c r="B2" s="9" t="s">
        <v>88</v>
      </c>
      <c r="C2" s="8" t="s">
        <v>89</v>
      </c>
      <c r="D2" s="8" t="s">
        <v>4</v>
      </c>
    </row>
    <row r="3" spans="1:4" ht="32" x14ac:dyDescent="0.2">
      <c r="A3" s="7" t="s">
        <v>5</v>
      </c>
      <c r="B3" s="8" t="s">
        <v>90</v>
      </c>
      <c r="C3" s="8" t="s">
        <v>91</v>
      </c>
      <c r="D3" s="8" t="s">
        <v>5</v>
      </c>
    </row>
    <row r="4" spans="1:4" ht="16" x14ac:dyDescent="0.2">
      <c r="A4" s="7" t="s">
        <v>9</v>
      </c>
      <c r="B4" s="10" t="s">
        <v>108</v>
      </c>
      <c r="C4" s="8" t="s">
        <v>92</v>
      </c>
      <c r="D4" s="8" t="s">
        <v>104</v>
      </c>
    </row>
    <row r="5" spans="1:4" ht="48" x14ac:dyDescent="0.2">
      <c r="A5" s="7" t="s">
        <v>6</v>
      </c>
      <c r="B5" s="11" t="s">
        <v>102</v>
      </c>
      <c r="D5" s="8"/>
    </row>
    <row r="6" spans="1:4" x14ac:dyDescent="0.2">
      <c r="A6" s="7" t="s">
        <v>93</v>
      </c>
      <c r="C6" s="10"/>
      <c r="D6" s="10"/>
    </row>
    <row r="7" spans="1:4" x14ac:dyDescent="0.2">
      <c r="A7" s="7" t="s">
        <v>103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 Matrix</vt:lpstr>
      <vt:lpstr>Selection Process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Natasha Chan</cp:lastModifiedBy>
  <dcterms:created xsi:type="dcterms:W3CDTF">2026-07-08T02:10:44Z</dcterms:created>
  <dcterms:modified xsi:type="dcterms:W3CDTF">2026-10-02T10:13:05Z</dcterms:modified>
</cp:coreProperties>
</file>